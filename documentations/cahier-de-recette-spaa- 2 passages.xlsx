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2se-my.sharepoint.com/personal/aroyer_e2segroupe_fr/Documents/Bureau/Projet association SPAA Alexis/"/>
    </mc:Choice>
  </mc:AlternateContent>
  <xr:revisionPtr revIDLastSave="0" documentId="8_{07EF9097-3E7F-46D5-A519-2FED542AABE9}" xr6:coauthVersionLast="47" xr6:coauthVersionMax="47" xr10:uidLastSave="{00000000-0000-0000-0000-000000000000}"/>
  <bookViews>
    <workbookView xWindow="4425" yWindow="2445" windowWidth="21600" windowHeight="11295" tabRatio="500" xr2:uid="{00000000-000D-0000-FFFF-FFFF00000000}"/>
  </bookViews>
  <sheets>
    <sheet name="Synthèse — 1er passage" sheetId="1" r:id="rId1"/>
    <sheet name="Cas — 1er passage" sheetId="2" r:id="rId2"/>
    <sheet name="Synthèse — 2e passage" sheetId="3" r:id="rId3"/>
    <sheet name="Cas — 2e passage" sheetId="4" r:id="rId4"/>
    <sheet name="Anomali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3" l="1"/>
  <c r="D37" i="3"/>
  <c r="C37" i="3"/>
  <c r="F37" i="3" s="1"/>
  <c r="B37" i="3"/>
  <c r="E36" i="3"/>
  <c r="D36" i="3"/>
  <c r="C36" i="3"/>
  <c r="F36" i="3" s="1"/>
  <c r="B36" i="3"/>
  <c r="E35" i="3"/>
  <c r="D35" i="3"/>
  <c r="C35" i="3"/>
  <c r="F35" i="3" s="1"/>
  <c r="B35" i="3"/>
  <c r="E34" i="3"/>
  <c r="D34" i="3"/>
  <c r="C34" i="3"/>
  <c r="F34" i="3" s="1"/>
  <c r="B34" i="3"/>
  <c r="E33" i="3"/>
  <c r="D33" i="3"/>
  <c r="C33" i="3"/>
  <c r="F33" i="3" s="1"/>
  <c r="B33" i="3"/>
  <c r="F32" i="3"/>
  <c r="E32" i="3"/>
  <c r="D32" i="3"/>
  <c r="C32" i="3"/>
  <c r="B32" i="3"/>
  <c r="E31" i="3"/>
  <c r="D31" i="3"/>
  <c r="C31" i="3"/>
  <c r="F31" i="3" s="1"/>
  <c r="B31" i="3"/>
  <c r="E30" i="3"/>
  <c r="D30" i="3"/>
  <c r="C30" i="3"/>
  <c r="F30" i="3" s="1"/>
  <c r="B30" i="3"/>
  <c r="F29" i="3"/>
  <c r="E29" i="3"/>
  <c r="D29" i="3"/>
  <c r="C29" i="3"/>
  <c r="B29" i="3"/>
  <c r="E28" i="3"/>
  <c r="D28" i="3"/>
  <c r="C28" i="3"/>
  <c r="F28" i="3" s="1"/>
  <c r="B28" i="3"/>
  <c r="E27" i="3"/>
  <c r="D27" i="3"/>
  <c r="C27" i="3"/>
  <c r="F27" i="3" s="1"/>
  <c r="B27" i="3"/>
  <c r="E26" i="3"/>
  <c r="D26" i="3"/>
  <c r="F26" i="3" s="1"/>
  <c r="C26" i="3"/>
  <c r="B26" i="3"/>
  <c r="E25" i="3"/>
  <c r="D25" i="3"/>
  <c r="C25" i="3"/>
  <c r="F25" i="3" s="1"/>
  <c r="B25" i="3"/>
  <c r="B18" i="3"/>
  <c r="B15" i="3"/>
  <c r="B14" i="3"/>
  <c r="B13" i="3"/>
  <c r="B12" i="3"/>
  <c r="B17" i="3" s="1"/>
  <c r="B11" i="3"/>
  <c r="B16" i="3" s="1"/>
  <c r="B20" i="3" s="1"/>
  <c r="E37" i="1"/>
  <c r="D37" i="1"/>
  <c r="C37" i="1"/>
  <c r="F37" i="1" s="1"/>
  <c r="B37" i="1"/>
  <c r="E36" i="1"/>
  <c r="D36" i="1"/>
  <c r="F36" i="1" s="1"/>
  <c r="C36" i="1"/>
  <c r="B36" i="1"/>
  <c r="E35" i="1"/>
  <c r="D35" i="1"/>
  <c r="C35" i="1"/>
  <c r="F35" i="1" s="1"/>
  <c r="B35" i="1"/>
  <c r="F34" i="1"/>
  <c r="E34" i="1"/>
  <c r="D34" i="1"/>
  <c r="C34" i="1"/>
  <c r="B34" i="1"/>
  <c r="E33" i="1"/>
  <c r="D33" i="1"/>
  <c r="C33" i="1"/>
  <c r="F33" i="1" s="1"/>
  <c r="B33" i="1"/>
  <c r="E32" i="1"/>
  <c r="D32" i="1"/>
  <c r="C32" i="1"/>
  <c r="F32" i="1" s="1"/>
  <c r="B32" i="1"/>
  <c r="F31" i="1"/>
  <c r="E31" i="1"/>
  <c r="D31" i="1"/>
  <c r="C31" i="1"/>
  <c r="B31" i="1"/>
  <c r="E30" i="1"/>
  <c r="D30" i="1"/>
  <c r="C30" i="1"/>
  <c r="F30" i="1" s="1"/>
  <c r="B30" i="1"/>
  <c r="E29" i="1"/>
  <c r="D29" i="1"/>
  <c r="C29" i="1"/>
  <c r="F29" i="1" s="1"/>
  <c r="B29" i="1"/>
  <c r="E28" i="1"/>
  <c r="D28" i="1"/>
  <c r="F28" i="1" s="1"/>
  <c r="C28" i="1"/>
  <c r="B28" i="1"/>
  <c r="E27" i="1"/>
  <c r="D27" i="1"/>
  <c r="C27" i="1"/>
  <c r="F27" i="1" s="1"/>
  <c r="B27" i="1"/>
  <c r="F26" i="1"/>
  <c r="E26" i="1"/>
  <c r="D26" i="1"/>
  <c r="C26" i="1"/>
  <c r="B26" i="1"/>
  <c r="E25" i="1"/>
  <c r="D25" i="1"/>
  <c r="C25" i="1"/>
  <c r="F25" i="1" s="1"/>
  <c r="B25" i="1"/>
  <c r="B18" i="1"/>
  <c r="B15" i="1"/>
  <c r="B14" i="1"/>
  <c r="B13" i="1"/>
  <c r="B12" i="1" s="1"/>
  <c r="B11" i="1"/>
  <c r="B20" i="1" s="1"/>
  <c r="B16" i="1" l="1"/>
  <c r="B17" i="1"/>
</calcChain>
</file>

<file path=xl/sharedStrings.xml><?xml version="1.0" encoding="utf-8"?>
<sst xmlns="http://schemas.openxmlformats.org/spreadsheetml/2006/main" count="1436" uniqueCount="379">
  <si>
    <t>CAHIER DE RECETTE — SITE SPAA</t>
  </si>
  <si>
    <t>1er passage — recette initiale · version testée : v1.2 (8 pages + script.js)</t>
  </si>
  <si>
    <t>Projet</t>
  </si>
  <si>
    <t>Site vitrine SPAA — refuge animalier (association loi 1901)</t>
  </si>
  <si>
    <t>Document associé</t>
  </si>
  <si>
    <t>Plan de tests (PDF)</t>
  </si>
  <si>
    <t>Auteur du cahier</t>
  </si>
  <si>
    <t>Axel Royer</t>
  </si>
  <si>
    <t>Responsable de recette</t>
  </si>
  <si>
    <t>Date de la campagne</t>
  </si>
  <si>
    <t>18 → 20 août 2026</t>
  </si>
  <si>
    <t>SUIVI GLOBAL</t>
  </si>
  <si>
    <t>Cas de test au total</t>
  </si>
  <si>
    <t>Exécutés (OK + KO)</t>
  </si>
  <si>
    <t>Conformes (OK)</t>
  </si>
  <si>
    <t>Non conformes (KO)</t>
  </si>
  <si>
    <t>Non testés (NT)</t>
  </si>
  <si>
    <t>Avancement</t>
  </si>
  <si>
    <t>Taux de conformité</t>
  </si>
  <si>
    <t>KO bloquants ouverts</t>
  </si>
  <si>
    <t>Décision indicative</t>
  </si>
  <si>
    <t>La décision finale reste prononcée par le représentant SPAA dans le procès-verbal.</t>
  </si>
  <si>
    <t>SUIVI PAR MODULE</t>
  </si>
  <si>
    <t>Module</t>
  </si>
  <si>
    <t>Cas</t>
  </si>
  <si>
    <t>OK</t>
  </si>
  <si>
    <t>KO</t>
  </si>
  <si>
    <t>NT</t>
  </si>
  <si>
    <t>Conformité</t>
  </si>
  <si>
    <t>Navigation</t>
  </si>
  <si>
    <t>Responsive</t>
  </si>
  <si>
    <t>Accueil</t>
  </si>
  <si>
    <t>Association</t>
  </si>
  <si>
    <t>Nos animaux</t>
  </si>
  <si>
    <t>Actualités</t>
  </si>
  <si>
    <t>Agenda</t>
  </si>
  <si>
    <t>Conseils &amp; FAQ</t>
  </si>
  <si>
    <t>Contact</t>
  </si>
  <si>
    <t>Mentions légales</t>
  </si>
  <si>
    <t>Robustesse</t>
  </si>
  <si>
    <t>Compatibilité</t>
  </si>
  <si>
    <t>Accessibilité</t>
  </si>
  <si>
    <t>MODE D'EMPLOI</t>
  </si>
  <si>
    <t>– Feuille « Cas de test » : renseigner uniquement les colonnes Statut (liste : OK / KO / NT), Résultat obtenu, Testeur et Date.</t>
  </si>
  <si>
    <t>– La 1re ligne (NAV-01) est un exemple de saisie en italique vert : à écraser lors de la vraie campagne.</t>
  </si>
  <si>
    <t>– OK = conforme au résultat attendu · KO = non conforme (ouvrir une fiche en feuille « Anomalies ») · NT = non testé.</t>
  </si>
  <si>
    <t>– Gravité définie au plan de tests : Bloquante = correction obligatoire avant mise en ligne ; Majeure = avant mise en ligne sauf dérogation ; Mineure = correction possible après.</t>
  </si>
  <si>
    <t>– Toutes les statistiques de cette feuille se recalculent automatiquement à partir de la colonne Statut.</t>
  </si>
  <si>
    <t>ID</t>
  </si>
  <si>
    <t>Page(s)</t>
  </si>
  <si>
    <t>Cas de test</t>
  </si>
  <si>
    <t>Étapes / mode opératoire</t>
  </si>
  <si>
    <t>Résultat attendu</t>
  </si>
  <si>
    <t>Gravité</t>
  </si>
  <si>
    <t>Statut</t>
  </si>
  <si>
    <t>Résultat obtenu / commentaire</t>
  </si>
  <si>
    <t>Testeur</t>
  </si>
  <si>
    <t>Date</t>
  </si>
  <si>
    <t>NAV-01</t>
  </si>
  <si>
    <t>Toutes</t>
  </si>
  <si>
    <t>Retour accueil par le logo</t>
  </si>
  <si>
    <t>Depuis chacune des 8 pages, cliquer sur le logo « 🐾 SPAA » du header.</t>
  </si>
  <si>
    <t>Redirection vers index.html dans tous les cas.</t>
  </si>
  <si>
    <t>Bloquante</t>
  </si>
  <si>
    <t>Redirection vers index.html vérifiée depuis les 8 pages ; logo cliquable.</t>
  </si>
  <si>
    <t>A. Royer</t>
  </si>
  <si>
    <t>18/08/2026</t>
  </si>
  <si>
    <t>NAV-02</t>
  </si>
  <si>
    <t>Liens du menu principal</t>
  </si>
  <si>
    <t>Cliquer successivement sur les 7 entrées du menu depuis l'accueil, puis vérifier le menu sur chaque page atteinte.</t>
  </si>
  <si>
    <t>Chaque lien ouvre la bonne page (Accueil, L'association, Nos animaux, Actualités, Agenda, Conseils &amp; FAQ, Contact). Aucun lien mort.</t>
  </si>
  <si>
    <t>Les 7 entrées du menu ouvrent la bonne page ; aucun lien mort.</t>
  </si>
  <si>
    <t>NAV-03</t>
  </si>
  <si>
    <t>Signalement de la page active</t>
  </si>
  <si>
    <t>Sur chaque page, observer le menu et inspecter le lien courant (F12).</t>
  </si>
  <si>
    <t>Le lien de la page courante est mis en évidence et porte aria-current="page".</t>
  </si>
  <si>
    <t>Majeure</t>
  </si>
  <si>
    <t>Lien courant mis en évidence, attribut aria-current="page" présent sur chaque page.</t>
  </si>
  <si>
    <t>NAV-04</t>
  </si>
  <si>
    <t>Bouton « Adopter » du header</t>
  </si>
  <si>
    <t>Cliquer sur le bouton « Adopter » depuis 3 pages différentes.</t>
  </si>
  <si>
    <t>Redirection vers contact.html.</t>
  </si>
  <si>
    <t>Bouton « Adopter » → contact.html depuis les 3 pages testées.</t>
  </si>
  <si>
    <t>NAV-05</t>
  </si>
  <si>
    <t>Liens du pied de page</t>
  </si>
  <si>
    <t>Tester les 4 liens « Le site » et le lien « Mentions légales » de la barre inférieure.</t>
  </si>
  <si>
    <t>Tous les liens aboutissent (animaux, actualités, agenda, blog, mentions légales).</t>
  </si>
  <si>
    <t>Les 4 liens « Le site » et le lien Mentions légales aboutissent tous.</t>
  </si>
  <si>
    <t>NAV-06</t>
  </si>
  <si>
    <t>Ombre du header au défilement</t>
  </si>
  <si>
    <t>Faire défiler la page vers le bas (&gt; 8 px) puis revenir tout en haut.</t>
  </si>
  <si>
    <t>Une ombre apparaît sous le header au défilement et disparaît en haut de page.</t>
  </si>
  <si>
    <t>Mineure</t>
  </si>
  <si>
    <t>Ombre du header apparaît au défilement (&gt; 8 px) et disparaît en haut de page.</t>
  </si>
  <si>
    <t>RWD-01</t>
  </si>
  <si>
    <t>Menu burger — ouverture</t>
  </si>
  <si>
    <t>Réduire la fenêtre sous le point de rupture mobile (ou 375 px via F12). Cliquer sur ☰.</t>
  </si>
  <si>
    <t>Le menu principal se déploie sous le header ; nouveau clic sur ☰ : il se referme.</t>
  </si>
  <si>
    <t>Menu burger : ouverture puis fermeture au clic sur ☰ conformes à 375 px.</t>
  </si>
  <si>
    <t>RWD-02</t>
  </si>
  <si>
    <t>Menu burger — fermeture auto</t>
  </si>
  <si>
    <t>Menu mobile ouvert, cliquer sur une entrée du menu.</t>
  </si>
  <si>
    <t>La page cible s'ouvre et le menu est refermé (case décochée par script.js).</t>
  </si>
  <si>
    <t>Fermeture automatique du menu au clic sur une entrée (case décochée).</t>
  </si>
  <si>
    <t>RWD-03</t>
  </si>
  <si>
    <t>Menu burger sans JavaScript</t>
  </si>
  <si>
    <t>Désactiver JavaScript (F12 &gt; paramètres), recharger, tester l'ouverture/fermeture du burger.</t>
  </si>
  <si>
    <t>Le menu fonctionne (mécanisme checkbox en CSS pur) ; seule la fermeture automatique après clic est perdue.</t>
  </si>
  <si>
    <t>Sans JavaScript, le burger CSS fonctionne ; seule la fermeture auto est perdue (attendu).</t>
  </si>
  <si>
    <t>RWD-04</t>
  </si>
  <si>
    <t>Affichage 375 px</t>
  </si>
  <si>
    <t>Parcourir les 8 pages à 375 px de large.</t>
  </si>
  <si>
    <t>Aucun défilement horizontal ; grilles (cartes animaux, valeurs, actus, coordonnées) empilées en 1 colonne ; textes lisibles.</t>
  </si>
  <si>
    <t>375 px : aucun défilement horizontal, grilles en 1 colonne, textes lisibles.</t>
  </si>
  <si>
    <t>RWD-05</t>
  </si>
  <si>
    <t>Affichage 768 px</t>
  </si>
  <si>
    <t>Parcourir les pages principales à 768 px.</t>
  </si>
  <si>
    <t>Mise en page intermédiaire cohérente, sans chevauchement ni débordement.</t>
  </si>
  <si>
    <t>768 px : mise en page intermédiaire cohérente, sans chevauchement ni débordement.</t>
  </si>
  <si>
    <t>ACC-01</t>
  </si>
  <si>
    <t>index.html</t>
  </si>
  <si>
    <t>Héros — contenu et boutons</t>
  </si>
  <si>
    <t>Charger l'accueil. Cliquer « Voir les animaux » puis revenir et cliquer « Devenir bénévole ».</t>
  </si>
  <si>
    <t>Surtitre, titre « Offrez-leur une seconde chance », texte et 2 boutons affichés. Boutons → animaux.html et contact.html.</t>
  </si>
  <si>
    <t>Héros complet ; « Voir les animaux » → animaux.html, « Devenir bénévole » → contact.html.</t>
  </si>
  <si>
    <t>ACC-02</t>
  </si>
  <si>
    <t>Trio d'arches du héros</t>
  </si>
  <si>
    <t>Observer la zone visuelle à droite du héros.</t>
  </si>
  <si>
    <t>3 cartes en arche affichent les photos (Nala, Oscar, Pixel).</t>
  </si>
  <si>
    <t>Trio d'arches : les 3 photos (Nala, Oscar, Pixel) s'affichent.</t>
  </si>
  <si>
    <t>ACC-03</t>
  </si>
  <si>
    <t>Compteurs animés</t>
  </si>
  <si>
    <t>Recharger la page puis faire défiler jusqu'à la bande de statistiques.</t>
  </si>
  <si>
    <t>À l'entrée dans la zone, les 3 compteurs s'animent (~1 s) et se figent sur 128, 34 et 22.</t>
  </si>
  <si>
    <t>Compteurs animés au scroll, figés sur 128, 34 et 22.</t>
  </si>
  <si>
    <t>ACC-04</t>
  </si>
  <si>
    <t>Cartes « Ils attendent une famille »</t>
  </si>
  <si>
    <t>Vérifier les 4 cartes (nom, meta, badge) et cliquer sur chacune.</t>
  </si>
  <si>
    <t>Nala, Oscar, Rio : badge « Disponible » ; Pixel : « En soins ». Chaque carte ouvre animaux.html.</t>
  </si>
  <si>
    <t>Nala/Oscar/Rio « Disponible », Pixel « En soins » ; chaque carte → animaux.html.</t>
  </si>
  <si>
    <t>ACC-05</t>
  </si>
  <si>
    <t>Bloc actualités</t>
  </si>
  <si>
    <t>Comparer les 3 cartes actualités avec la page Actualités. Cliquer « Toutes les actualités → ».</t>
  </si>
  <si>
    <t>Dates et titres identiques aux 3 derniers articles d'actualites.html ; lien fonctionnel.</t>
  </si>
  <si>
    <t>3 cartes actus identiques aux derniers articles ; lien « Toutes les actualités → » OK.</t>
  </si>
  <si>
    <t>ACC-06</t>
  </si>
  <si>
    <t>Bande photo + message</t>
  </si>
  <si>
    <t>Observer la bande photo pleine largeur.</t>
  </si>
  <si>
    <t>Photo affichée avec le message en surimpression (« 128 secondes chances… »).</t>
  </si>
  <si>
    <t>Bande photo pleine largeur avec message en surimpression affichée.</t>
  </si>
  <si>
    <t>ACC-07</t>
  </si>
  <si>
    <t>Bande CTA « Envie de nous aider ? »</t>
  </si>
  <si>
    <t>Cliquer le bouton « Nous contacter ».</t>
  </si>
  <si>
    <t>Bouton « Nous contacter » → contact.html.</t>
  </si>
  <si>
    <t>ACC-08</t>
  </si>
  <si>
    <t>Apparitions au scroll</t>
  </si>
  <si>
    <t>Recharger puis faire défiler lentement la page.</t>
  </si>
  <si>
    <t>Les sections marquées .reveal apparaissent progressivement à l'entrée dans la fenêtre.</t>
  </si>
  <si>
    <t>Sections .reveal apparaissent progressivement au défilement.</t>
  </si>
  <si>
    <t>ASS-01</t>
  </si>
  <si>
    <t>association.html</t>
  </si>
  <si>
    <t>Mission + trio d'arches</t>
  </si>
  <si>
    <t>Charger la page, vérifier la section « Notre mission ».</t>
  </si>
  <si>
    <t>2 paragraphes de présentation en vis-à-vis de 3 arches photos (Rio, Mia, Caramel).</t>
  </si>
  <si>
    <t>« Notre mission » : 2 paragraphes en vis-à-vis du trio d'arches (Rio, Mia, Caramel).</t>
  </si>
  <si>
    <t>19/08/2026</t>
  </si>
  <si>
    <t>ASS-02</t>
  </si>
  <si>
    <t>Cartes valeurs</t>
  </si>
  <si>
    <t>Vérifier la section « Nos valeurs ».</t>
  </si>
  <si>
    <t>4 cartes : Protection animale, Bien-être, Sensibilisation, Engagement bénévole (picto + titre + phrase).</t>
  </si>
  <si>
    <t>4 cartes valeurs (picto + titre + phrase) présentes.</t>
  </si>
  <si>
    <t>ASS-03</t>
  </si>
  <si>
    <t>Galerie des pensionnaires</t>
  </si>
  <si>
    <t>Faire défiler jusqu'à « Nos pensionnaires en images ».</t>
  </si>
  <si>
    <t>6 portraits en cartes arche affichés, apparition au scroll.</t>
  </si>
  <si>
    <t>Galerie de 6 portraits en cartes arche, apparition au scroll.</t>
  </si>
  <si>
    <t>ASS-04</t>
  </si>
  <si>
    <t>Boutons de relais</t>
  </si>
  <si>
    <t>Cliquer « Rencontrer nos animaux » puis « Voir nos événements ».</t>
  </si>
  <si>
    <t>Redirections vers animaux.html et agenda.html.</t>
  </si>
  <si>
    <t>Boutons de relais → animaux.html et agenda.html.</t>
  </si>
  <si>
    <t>ANI-01</t>
  </si>
  <si>
    <t>animaux.html</t>
  </si>
  <si>
    <t>État initial du catalogue</t>
  </si>
  <si>
    <t>Charger la page sans toucher aux filtres.</t>
  </si>
  <si>
    <t>Puce « Tous » active (aria-pressed="true"), 8 fiches visibles, message « aucun animal » masqué.</t>
  </si>
  <si>
    <t>État initial : puce « Tous » active (aria-pressed=true), 8 fiches, message vide masqué.</t>
  </si>
  <si>
    <t>ANI-02</t>
  </si>
  <si>
    <t>Filtre « Chiens »</t>
  </si>
  <si>
    <t>Cliquer la puce « Chiens ».</t>
  </si>
  <si>
    <t>3 fiches restent visibles : Nala, Rio, Falco.</t>
  </si>
  <si>
    <t>Filtre « Chiens » : Nala, Rio, Falco visibles.</t>
  </si>
  <si>
    <t>ANI-03</t>
  </si>
  <si>
    <t>Filtre « Chats »</t>
  </si>
  <si>
    <t>Cliquer la puce « Chats ».</t>
  </si>
  <si>
    <t>3 fiches : Oscar, Mia, Luna.</t>
  </si>
  <si>
    <t>Filtre « Chats » : Oscar, Mia, Luna visibles.</t>
  </si>
  <si>
    <t>ANI-04</t>
  </si>
  <si>
    <t>Filtre « Autres »</t>
  </si>
  <si>
    <t>Cliquer la puce « Autres ».</t>
  </si>
  <si>
    <t>2 fiches : Pixel, Caramel.</t>
  </si>
  <si>
    <t>Filtre « Autres » : Pixel, Caramel visibles.</t>
  </si>
  <si>
    <t>ANI-05</t>
  </si>
  <si>
    <t>Filtre « Disponibles »</t>
  </si>
  <si>
    <t>Cliquer la puce « Disponibles ».</t>
  </si>
  <si>
    <t>5 fiches au statut Disponible : Nala, Oscar, Rio, Mia, Caramel (Pixel, Falco, Luna masqués).</t>
  </si>
  <si>
    <t>Filtre « Disponibles » : 5 fiches ; Pixel, Falco et Luna masqués.</t>
  </si>
  <si>
    <t>ANI-06</t>
  </si>
  <si>
    <t>Exclusivité des filtres</t>
  </si>
  <si>
    <t>Enchaîner plusieurs filtres et inspecter les puces (F12).</t>
  </si>
  <si>
    <t>Une seule puce active à la fois ; aria-pressed mis à jour sur toutes les puces à chaque clic.</t>
  </si>
  <si>
    <t>ANI-07</t>
  </si>
  <si>
    <t>Badges de statut</t>
  </si>
  <si>
    <t>Vérifier le badge de chacune des 8 fiches.</t>
  </si>
  <si>
    <t>Disponible ×5 ; En soins : Pixel et Falco ; Adoptée : Luna. Styles distincts pour les 3 états.</t>
  </si>
  <si>
    <t>Badges conformes : Disponible ×5, En soins (Pixel, Falco), Adoptée (Luna) ; styles distincts.</t>
  </si>
  <si>
    <t>ANI-08</t>
  </si>
  <si>
    <t>Descriptions des fiches</t>
  </si>
  <si>
    <t>Lire les 8 fiches.</t>
  </si>
  <si>
    <t>Chaque fiche : photo arche, nom, race/âge, badge et courte description de caractère.</t>
  </si>
  <si>
    <t>Chaque fiche : photo arche, nom, race/âge, badge et description de caractère.</t>
  </si>
  <si>
    <t>ANI-09</t>
  </si>
  <si>
    <t>CTA « Un coup de cœur ? »</t>
  </si>
  <si>
    <t>Cliquer « Prendre contact » en bas de page.</t>
  </si>
  <si>
    <t>Bouton « Prendre contact » → contact.html.</t>
  </si>
  <si>
    <t>ACT-01</t>
  </si>
  <si>
    <t>actualites.html</t>
  </si>
  <si>
    <t>Flux des articles</t>
  </si>
  <si>
    <t>Charger la page et vérifier l'ordre des 4 articles.</t>
  </si>
  <si>
    <t>4 articles antéchronologiques : portes ouvertes du 12 juillet, adoptions Luna et Rex (15 juin), appel aux dons (2 juin), arrivée de Falco.</t>
  </si>
  <si>
    <t>4 articles antéchronologiques dans l'ordre attendu.</t>
  </si>
  <si>
    <t>ACT-02</t>
  </si>
  <si>
    <t>Cohérence éditoriale</t>
  </si>
  <si>
    <t>Croiser l'article « Luna et Rex ont trouvé leur famille » avec la fiche Luna d'animaux.html.</t>
  </si>
  <si>
    <t>Luna est « Adoptée » sur sa fiche ; Falco (article d'arrivée) est « En soins » : les contenus concordent.</t>
  </si>
  <si>
    <t>Luna « Adoptée » et Falco « En soins » : cohérence avec les fiches animaux.</t>
  </si>
  <si>
    <t>AGE-01</t>
  </si>
  <si>
    <t>agenda.html</t>
  </si>
  <si>
    <t>Liste des événements</t>
  </si>
  <si>
    <t>Charger la page.</t>
  </si>
  <si>
    <t>4 événements en ordre chronologique (12 juil., 26 juil., 9 août, 6 sept.), bloc-date jour/mois à gauche, titre + horaires/lieu/modalités à droite.</t>
  </si>
  <si>
    <t>4 événements chronologiques ; bloc-date à gauche, titre/horaires/lieu à droite.</t>
  </si>
  <si>
    <t>AGE-02</t>
  </si>
  <si>
    <t>Note de gestion</t>
  </si>
  <si>
    <t>Vérifier le bas de la liste.</t>
  </si>
  <si>
    <t>Mention « L'agenda est mis à jour par les bénévoles de l'association » affichée.</t>
  </si>
  <si>
    <t>Mention « L'agenda est mis à jour par les bénévoles » présente.</t>
  </si>
  <si>
    <t>BLO-01</t>
  </si>
  <si>
    <t>blog.html</t>
  </si>
  <si>
    <t>Articles conseils</t>
  </si>
  <si>
    <t>2 articles affichés : préparer l'arrivée de l'animal ; quel animal pour quel mode de vie (avec renvois à Rio et Oscar).</t>
  </si>
  <si>
    <t>2 articles conseils affichés, avec renvois aux pensionnaires Rio et Oscar.</t>
  </si>
  <si>
    <t>BLO-02</t>
  </si>
  <si>
    <t>Accordéons FAQ — souris</t>
  </si>
  <si>
    <t>Cliquer sur chacune des 5 questions, puis re-cliquer.</t>
  </si>
  <si>
    <t>Chaque volet s'ouvre et se referme (éléments details natifs) ; plusieurs volets peuvent être ouverts simultanément.</t>
  </si>
  <si>
    <t>5 accordéons &lt;details&gt; s'ouvrent/ferment ; plusieurs volets ouvrables simultanément.</t>
  </si>
  <si>
    <t>BLO-03</t>
  </si>
  <si>
    <t>Accordéons FAQ — clavier</t>
  </si>
  <si>
    <t>Naviguer à la touche Tab jusqu'aux questions, ouvrir avec Entrée/Espace.</t>
  </si>
  <si>
    <t>Chaque question est focusable et actionnable au clavier.</t>
  </si>
  <si>
    <t>Questions focusables et actionnables au clavier (Tab puis Entrée/Espace).</t>
  </si>
  <si>
    <t>CON-01</t>
  </si>
  <si>
    <t>contact.html</t>
  </si>
  <si>
    <t>Labels et champs</t>
  </si>
  <si>
    <t>Cliquer sur chaque label (« Votre nom », « Votre e-mail », « Sujet », « Votre message »).</t>
  </si>
  <si>
    <t>Le clic sur un label place le focus dans le champ associé (attributs for/id corrects).</t>
  </si>
  <si>
    <t>Clic sur chaque label place le focus dans le champ associé (for/id corrects).</t>
  </si>
  <si>
    <t>20/08/2026</t>
  </si>
  <si>
    <t>CON-02</t>
  </si>
  <si>
    <t>Blocage des champs vides</t>
  </si>
  <si>
    <t>Cliquer « Envoyer le message » sans rien saisir.</t>
  </si>
  <si>
    <t>L'envoi est bloqué ; le navigateur signale le premier champ obligatoire (required).</t>
  </si>
  <si>
    <t>Envoi à vide bloqué ; le premier champ obligatoire (required) est signalé.</t>
  </si>
  <si>
    <t>CON-03</t>
  </si>
  <si>
    <t>Validation du format e-mail</t>
  </si>
  <si>
    <t>Renseigner nom + message, saisir « abc » dans l'e-mail, envoyer.</t>
  </si>
  <si>
    <t>L'envoi est bloqué avec un message d'e-mail invalide (type=email).</t>
  </si>
  <si>
    <t>E-mail « abc » refusé (type=email) ; envoi bloqué avec message d'erreur.</t>
  </si>
  <si>
    <t>CON-04</t>
  </si>
  <si>
    <t>Liste déroulante « Sujet »</t>
  </si>
  <si>
    <t>Ouvrir la liste Sujet.</t>
  </si>
  <si>
    <t>4 options : Projet d'adoption, Devenir bénévole, Faire un don, Autre demande.</t>
  </si>
  <si>
    <t>Liste « Sujet » : les 4 options attendues sont présentes.</t>
  </si>
  <si>
    <t>CON-05</t>
  </si>
  <si>
    <t>Envoi valide (mailto)</t>
  </si>
  <si>
    <t>Remplir correctement tous les champs et envoyer.</t>
  </si>
  <si>
    <t>Le client de messagerie s'ouvre, prérempli à destination de contact@spaa.fr ; la note de transparence sous le bouton est visible.</t>
  </si>
  <si>
    <t>Client mail ouvert, prérempli vers contact@spaa.fr ; note de transparence visible.</t>
  </si>
  <si>
    <t>CON-06</t>
  </si>
  <si>
    <t>Cartes de coordonnées</t>
  </si>
  <si>
    <t>Vérifier la colonne de droite.</t>
  </si>
  <si>
    <t>4 cartes : téléphone, e-mail, horaires (mar–sam, 14 h–18 h ; dim-lun fermé), réseaux sociaux.</t>
  </si>
  <si>
    <t>4 cartes coordonnées : téléphone, e-mail, horaires (mar–sam 14 h–18 h), réseaux.</t>
  </si>
  <si>
    <t>MEN-01</t>
  </si>
  <si>
    <t>mentions-legales.html</t>
  </si>
  <si>
    <t>Sections obligatoires</t>
  </si>
  <si>
    <t>4 sections : Éditeur du site, Hébergement, Données personnelles (droits RGPD via contact@spaa.fr), Crédits.</t>
  </si>
  <si>
    <t>4 sections présentes : éditeur, hébergement, données personnelles (RGPD), crédits.</t>
  </si>
  <si>
    <t>MEN-02</t>
  </si>
  <si>
    <t>Placeholders complétés</t>
  </si>
  <si>
    <t>Rechercher les crochets « [ » dans la page (Ctrl+F).</t>
  </si>
  <si>
    <t>Avant mise en ligne : adresse du siège, direction de publication et hébergeur renseignés — plus aucun texte entre crochets.</t>
  </si>
  <si>
    <t>KO — placeholders des mentions légales encore présents (adresse du siège, direction de publication, hébergeur entre crochets). Anomalie A-01 ouverte ; correction requise avant mise en ligne.</t>
  </si>
  <si>
    <t>ROB-01</t>
  </si>
  <si>
    <t>Repli des photos vers les SVG</t>
  </si>
  <si>
    <t>Bloquer les images externes (mode hors ligne ou blocage d'images.unsplash.com), recharger accueil, association et animaux.</t>
  </si>
  <si>
    <t>Chaque photo de fiche/arche bascule automatiquement sur son illustration SVG locale (assets/) : aucune image cassée.</t>
  </si>
  <si>
    <t>Photos bloquées : bascule automatique vers les SVG locaux (assets/) ; aucune image cassée.</t>
  </si>
  <si>
    <t>ROB-02</t>
  </si>
  <si>
    <t>index / association</t>
  </si>
  <si>
    <t>Repli des bandes photo</t>
  </si>
  <si>
    <t>Mêmes conditions : observer les bandes photo pleine largeur.</t>
  </si>
  <si>
    <t>La bande dont l'image échoue est masquée entièrement (pas de cadre vide).</t>
  </si>
  <si>
    <t>Bande photo dont l'image échoue entièrement masquée (pas de cadre vide).</t>
  </si>
  <si>
    <t>ROB-03</t>
  </si>
  <si>
    <t>Réduction des animations</t>
  </si>
  <si>
    <t>Activer « réduire les animations » dans l'OS (prefers-reduced-motion), recharger l'accueil.</t>
  </si>
  <si>
    <t>Compteurs affichés directement à leur valeur finale, sections visibles sans effet d'apparition.</t>
  </si>
  <si>
    <t>prefers-reduced-motion actif : compteurs à leur valeur finale, sections sans effet d'apparition.</t>
  </si>
  <si>
    <t>ROB-04</t>
  </si>
  <si>
    <t>Favicon</t>
  </si>
  <si>
    <t>Observer l'onglet du navigateur sur chaque page.</t>
  </si>
  <si>
    <t>Le favicon SVG (patte) est affiché.</t>
  </si>
  <si>
    <t>Favicon SVG (patte) affiché sur chaque page.</t>
  </si>
  <si>
    <t>CMP-01</t>
  </si>
  <si>
    <t>Parcours complet — Chrome</t>
  </si>
  <si>
    <t>Dérouler le parcours type (accueil → animaux + filtres → fiche → contact + formulaire) sur Chrome.</t>
  </si>
  <si>
    <t>Aucune anomalie d'affichage ni de comportement.</t>
  </si>
  <si>
    <t>Parcours complet sur Chrome : aucune anomalie d'affichage ni de comportement.</t>
  </si>
  <si>
    <t>CMP-02</t>
  </si>
  <si>
    <t>Parcours complet — Firefox</t>
  </si>
  <si>
    <t>Même parcours sur Firefox.</t>
  </si>
  <si>
    <t>Comportement identique à la référence Chrome.</t>
  </si>
  <si>
    <t>Parcours complet sur Firefox : comportement identique à la référence Chrome.</t>
  </si>
  <si>
    <t>CMP-03</t>
  </si>
  <si>
    <t>Parcours complet — Edge</t>
  </si>
  <si>
    <t>Même parcours sur Edge.</t>
  </si>
  <si>
    <t>Parcours complet sur Edge : comportement identique à la référence Chrome.</t>
  </si>
  <si>
    <t>CMP-04</t>
  </si>
  <si>
    <t>Parcours mobile réel</t>
  </si>
  <si>
    <t>Même parcours sur un appareil réel (Safari iOS ou Chrome Android), menu burger inclus.</t>
  </si>
  <si>
    <t>Parcours complet sans blocage ; zones tactiles utilisables.</t>
  </si>
  <si>
    <t>Parcours mobile réel (Chrome Android) : sans blocage, zones tactiles utilisables.</t>
  </si>
  <si>
    <t>ACS-01</t>
  </si>
  <si>
    <t>Navigation clavier</t>
  </si>
  <si>
    <t>Parcourir chaque page uniquement à la touche Tab.</t>
  </si>
  <si>
    <t>Tous les liens/boutons sont atteignables dans un ordre logique, avec un focus visible.</t>
  </si>
  <si>
    <t>Navigation clavier : tous les liens/boutons atteignables dans un ordre logique, focus visible.</t>
  </si>
  <si>
    <t>ACS-02</t>
  </si>
  <si>
    <t>Alternatives textuelles</t>
  </si>
  <si>
    <t>Inspecter les images (F12) sur accueil, association et animaux.</t>
  </si>
  <si>
    <t>Images informatives : alt descriptif ; images décoratives : alt vide ou aria-hidden.</t>
  </si>
  <si>
    <t>Images informatives à alt descriptif ; décoratives en alt vide / aria-hidden.</t>
  </si>
  <si>
    <t>ACS-03</t>
  </si>
  <si>
    <t>Métadonnées des pages</t>
  </si>
  <si>
    <t>Vérifier le titre d'onglet et la meta description de chacune des 8 pages.</t>
  </si>
  <si>
    <t>Title et description uniques et pertinents par page (« Accueil — SPAA », etc.).</t>
  </si>
  <si>
    <t>Title et meta description uniques et pertinents sur les 8 pages.</t>
  </si>
  <si>
    <t>ACS-04</t>
  </si>
  <si>
    <t>Contrastes</t>
  </si>
  <si>
    <t>Contrôler au moyen des outils de développement (ou d'un vérificateur de contraste) les textes sur fonds colorés (boutons, bandes, badges).</t>
  </si>
  <si>
    <t>Rapport de contraste suffisant (≥ 4,5:1 pour le texte courant).</t>
  </si>
  <si>
    <t>Contrastes contrôlés : rapport ≥ 4,5:1 pour le texte courant.</t>
  </si>
  <si>
    <t>2e passage — rejeu après correction · version testée : v1.2 (8 pages + script.js)</t>
  </si>
  <si>
    <t>21 août 2026 (rejeu de MEN-02)</t>
  </si>
  <si>
    <t>Placeholders complétés (éditeur : SPAA, siège, présidente ; hébergeur : OVHcloud). Plus aucun texte entre crochets. Cas rejoué après correction de l'anomalie A-01.</t>
  </si>
  <si>
    <t>21/08/2026</t>
  </si>
  <si>
    <t>Cas de test lié</t>
  </si>
  <si>
    <t>Page / module</t>
  </si>
  <si>
    <t>Description de l'anomalie</t>
  </si>
  <si>
    <t>Correction apportée / commentaire</t>
  </si>
  <si>
    <t>Détectée le</t>
  </si>
  <si>
    <t>Corrigée le</t>
  </si>
  <si>
    <t>A-01</t>
  </si>
  <si>
    <t>Placeholders non renseignés dans les mentions légales : adresse du siège, direction de publication et hébergeur encore entre crochets (détecté en recette).</t>
  </si>
  <si>
    <t>Corrigée</t>
  </si>
  <si>
    <t>Éditeur renseigné (SPAA, siège à Pont-l'Évêque, présidente, RNA) et hébergeur OVHcloud ; aucun texte entre crochets restant. Cas MEN-02 rejoué OK.</t>
  </si>
  <si>
    <t>Plan de tests SPAA et PV recette SPAA (PDF)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</si>
</sst>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E5B4A"/>
      <name val="Arial"/>
      <charset val="1"/>
    </font>
    <font>
      <i/>
      <sz val="10"/>
      <color rgb="FF666666"/>
      <name val="Arial"/>
      <charset val="1"/>
    </font>
    <font>
      <b/>
      <sz val="10"/>
      <color rgb="FF22302A"/>
      <name val="Arial"/>
      <charset val="1"/>
    </font>
    <font>
      <sz val="10"/>
      <color rgb="FF22302A"/>
      <name val="Arial"/>
      <charset val="1"/>
    </font>
    <font>
      <b/>
      <sz val="12"/>
      <color rgb="FF1E5B4A"/>
      <name val="Arial"/>
      <charset val="1"/>
    </font>
    <font>
      <b/>
      <sz val="10"/>
      <color rgb="FF9C3A1E"/>
      <name val="Arial"/>
      <charset val="1"/>
    </font>
    <font>
      <b/>
      <sz val="11"/>
      <color rgb="FF1E5B4A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9"/>
      <color rgb="FF22302A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5B4A"/>
        <bgColor rgb="FF22302A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0" borderId="0" xfId="0" applyFont="1" applyAlignment="1">
      <alignment vertical="top" wrapText="1"/>
    </xf>
    <xf numFmtId="0" fontId="7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5B4A"/>
      <rgbColor rgb="FF339966"/>
      <rgbColor rgb="FF003300"/>
      <rgbColor rgb="FF333300"/>
      <rgbColor rgb="FF9C3A1E"/>
      <rgbColor rgb="FF993366"/>
      <rgbColor rgb="FF333399"/>
      <rgbColor rgb="FF2230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Normal="100" workbookViewId="0">
      <selection activeCell="B6" sqref="B6:F6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5" width="12" customWidth="1"/>
    <col min="6" max="6" width="14" customWidth="1"/>
  </cols>
  <sheetData>
    <row r="1" spans="1:6" ht="19.5" customHeight="1" x14ac:dyDescent="0.3">
      <c r="A1" s="4" t="s">
        <v>0</v>
      </c>
    </row>
    <row r="2" spans="1:6" ht="15" customHeight="1" x14ac:dyDescent="0.25">
      <c r="A2" s="5" t="s">
        <v>1</v>
      </c>
    </row>
    <row r="4" spans="1:6" ht="15" customHeight="1" x14ac:dyDescent="0.25">
      <c r="A4" s="6" t="s">
        <v>2</v>
      </c>
      <c r="B4" s="3" t="s">
        <v>3</v>
      </c>
      <c r="C4" s="3"/>
      <c r="D4" s="3"/>
      <c r="E4" s="3"/>
      <c r="F4" s="3"/>
    </row>
    <row r="5" spans="1:6" ht="15" customHeight="1" x14ac:dyDescent="0.25">
      <c r="A5" s="6" t="s">
        <v>4</v>
      </c>
      <c r="B5" s="3" t="s">
        <v>378</v>
      </c>
      <c r="C5" s="3"/>
      <c r="D5" s="3"/>
      <c r="E5" s="3"/>
      <c r="F5" s="3"/>
    </row>
    <row r="6" spans="1:6" ht="15" customHeight="1" x14ac:dyDescent="0.25">
      <c r="A6" s="6" t="s">
        <v>6</v>
      </c>
      <c r="B6" s="3" t="s">
        <v>7</v>
      </c>
      <c r="C6" s="3"/>
      <c r="D6" s="3"/>
      <c r="E6" s="3"/>
      <c r="F6" s="3"/>
    </row>
    <row r="7" spans="1:6" ht="15" customHeight="1" x14ac:dyDescent="0.25">
      <c r="A7" s="6" t="s">
        <v>8</v>
      </c>
      <c r="B7" s="3" t="s">
        <v>7</v>
      </c>
      <c r="C7" s="3"/>
      <c r="D7" s="3"/>
      <c r="E7" s="3"/>
      <c r="F7" s="3"/>
    </row>
    <row r="8" spans="1:6" ht="15" customHeight="1" x14ac:dyDescent="0.25">
      <c r="A8" s="6" t="s">
        <v>9</v>
      </c>
      <c r="B8" s="3" t="s">
        <v>10</v>
      </c>
      <c r="C8" s="3"/>
      <c r="D8" s="3"/>
      <c r="E8" s="3"/>
      <c r="F8" s="3"/>
    </row>
    <row r="10" spans="1:6" ht="15" customHeight="1" x14ac:dyDescent="0.25">
      <c r="A10" s="7" t="s">
        <v>11</v>
      </c>
    </row>
    <row r="11" spans="1:6" ht="15" customHeight="1" x14ac:dyDescent="0.25">
      <c r="A11" s="8" t="s">
        <v>12</v>
      </c>
      <c r="B11" s="9">
        <f>COUNTA('Cas — 1er passage'!A2:A60)</f>
        <v>59</v>
      </c>
    </row>
    <row r="12" spans="1:6" ht="15" customHeight="1" x14ac:dyDescent="0.25">
      <c r="A12" s="8" t="s">
        <v>13</v>
      </c>
      <c r="B12" s="9">
        <f>B13+B14</f>
        <v>59</v>
      </c>
    </row>
    <row r="13" spans="1:6" ht="15" customHeight="1" x14ac:dyDescent="0.25">
      <c r="A13" s="8" t="s">
        <v>14</v>
      </c>
      <c r="B13" s="9">
        <f>COUNTIF('Cas — 1er passage'!H2:H60,"OK")</f>
        <v>58</v>
      </c>
    </row>
    <row r="14" spans="1:6" ht="15" customHeight="1" x14ac:dyDescent="0.25">
      <c r="A14" s="8" t="s">
        <v>15</v>
      </c>
      <c r="B14" s="9">
        <f>COUNTIF('Cas — 1er passage'!H2:H60,"KO")</f>
        <v>1</v>
      </c>
    </row>
    <row r="15" spans="1:6" ht="15" customHeight="1" x14ac:dyDescent="0.25">
      <c r="A15" s="8" t="s">
        <v>16</v>
      </c>
      <c r="B15" s="9">
        <f>COUNTIF('Cas — 1er passage'!H2:H60,"NT")</f>
        <v>0</v>
      </c>
    </row>
    <row r="16" spans="1:6" ht="15" customHeight="1" x14ac:dyDescent="0.25">
      <c r="A16" s="8" t="s">
        <v>17</v>
      </c>
      <c r="B16" s="10">
        <f>IF(B11=0,0,B12/B11)</f>
        <v>1</v>
      </c>
    </row>
    <row r="17" spans="1:6" ht="15" customHeight="1" x14ac:dyDescent="0.25">
      <c r="A17" s="8" t="s">
        <v>18</v>
      </c>
      <c r="B17" s="10">
        <f>IF(B12=0,0,B13/B12)</f>
        <v>0.98305084745762716</v>
      </c>
    </row>
    <row r="18" spans="1:6" ht="15" customHeight="1" x14ac:dyDescent="0.25">
      <c r="A18" s="8" t="s">
        <v>19</v>
      </c>
      <c r="B18" s="11">
        <f>COUNTIFS('Cas — 1er passage'!G2:G60,"Bloquante",'Cas — 1er passage'!H2:H60,"KO")</f>
        <v>1</v>
      </c>
    </row>
    <row r="20" spans="1:6" ht="15" customHeight="1" x14ac:dyDescent="0.25">
      <c r="A20" s="6" t="s">
        <v>20</v>
      </c>
      <c r="B20" s="2" t="str">
        <f>IF(B11=0,"—",IF(B18&gt;0,"Recette refusée (KO bloquant)",IF(B16&lt;1,"Recette en cours",IF(B14&gt;0,"Recette avec réserves","Recette prononcée"))))</f>
        <v>Recette refusée (KO bloquant)</v>
      </c>
      <c r="C20" s="2"/>
      <c r="D20" s="2"/>
      <c r="E20" s="2"/>
    </row>
    <row r="21" spans="1:6" ht="15" customHeight="1" x14ac:dyDescent="0.25">
      <c r="A21" s="12" t="s">
        <v>21</v>
      </c>
    </row>
    <row r="23" spans="1:6" ht="15" customHeight="1" x14ac:dyDescent="0.25">
      <c r="A23" s="7" t="s">
        <v>22</v>
      </c>
    </row>
    <row r="24" spans="1:6" ht="15" customHeight="1" x14ac:dyDescent="0.25">
      <c r="A24" s="13" t="s">
        <v>23</v>
      </c>
      <c r="B24" s="13" t="s">
        <v>24</v>
      </c>
      <c r="C24" s="13" t="s">
        <v>25</v>
      </c>
      <c r="D24" s="13" t="s">
        <v>26</v>
      </c>
      <c r="E24" s="13" t="s">
        <v>27</v>
      </c>
      <c r="F24" s="13" t="s">
        <v>28</v>
      </c>
    </row>
    <row r="25" spans="1:6" ht="15" customHeight="1" x14ac:dyDescent="0.25">
      <c r="A25" s="8" t="s">
        <v>29</v>
      </c>
      <c r="B25" s="14">
        <f>COUNTIF('Cas — 1er passage'!B2:B60,A25)</f>
        <v>6</v>
      </c>
      <c r="C25" s="14">
        <f>COUNTIFS('Cas — 1er passage'!B2:B60,A25,'Cas — 1er passage'!H2:H60,"OK")</f>
        <v>6</v>
      </c>
      <c r="D25" s="14">
        <f>COUNTIFS('Cas — 1er passage'!B2:B60,A25,'Cas — 1er passage'!H2:H60,"KO")</f>
        <v>0</v>
      </c>
      <c r="E25" s="14">
        <f>COUNTIFS('Cas — 1er passage'!B2:B60,A25,'Cas — 1er passage'!H2:H60,"NT")</f>
        <v>0</v>
      </c>
      <c r="F25" s="15">
        <f t="shared" ref="F25:F37" si="0">IF(C25+D25=0,0,C25/(C25+D25))</f>
        <v>1</v>
      </c>
    </row>
    <row r="26" spans="1:6" ht="15" customHeight="1" x14ac:dyDescent="0.25">
      <c r="A26" s="8" t="s">
        <v>30</v>
      </c>
      <c r="B26" s="14">
        <f>COUNTIF('Cas — 1er passage'!B2:B60,A26)</f>
        <v>5</v>
      </c>
      <c r="C26" s="14">
        <f>COUNTIFS('Cas — 1er passage'!B2:B60,A26,'Cas — 1er passage'!H2:H60,"OK")</f>
        <v>5</v>
      </c>
      <c r="D26" s="14">
        <f>COUNTIFS('Cas — 1er passage'!B2:B60,A26,'Cas — 1er passage'!H2:H60,"KO")</f>
        <v>0</v>
      </c>
      <c r="E26" s="14">
        <f>COUNTIFS('Cas — 1er passage'!B2:B60,A26,'Cas — 1er passage'!H2:H60,"NT")</f>
        <v>0</v>
      </c>
      <c r="F26" s="15">
        <f t="shared" si="0"/>
        <v>1</v>
      </c>
    </row>
    <row r="27" spans="1:6" ht="15" customHeight="1" x14ac:dyDescent="0.25">
      <c r="A27" s="8" t="s">
        <v>31</v>
      </c>
      <c r="B27" s="14">
        <f>COUNTIF('Cas — 1er passage'!B2:B60,A27)</f>
        <v>8</v>
      </c>
      <c r="C27" s="14">
        <f>COUNTIFS('Cas — 1er passage'!B2:B60,A27,'Cas — 1er passage'!H2:H60,"OK")</f>
        <v>8</v>
      </c>
      <c r="D27" s="14">
        <f>COUNTIFS('Cas — 1er passage'!B2:B60,A27,'Cas — 1er passage'!H2:H60,"KO")</f>
        <v>0</v>
      </c>
      <c r="E27" s="14">
        <f>COUNTIFS('Cas — 1er passage'!B2:B60,A27,'Cas — 1er passage'!H2:H60,"NT")</f>
        <v>0</v>
      </c>
      <c r="F27" s="15">
        <f t="shared" si="0"/>
        <v>1</v>
      </c>
    </row>
    <row r="28" spans="1:6" ht="15" customHeight="1" x14ac:dyDescent="0.25">
      <c r="A28" s="8" t="s">
        <v>32</v>
      </c>
      <c r="B28" s="14">
        <f>COUNTIF('Cas — 1er passage'!B2:B60,A28)</f>
        <v>4</v>
      </c>
      <c r="C28" s="14">
        <f>COUNTIFS('Cas — 1er passage'!B2:B60,A28,'Cas — 1er passage'!H2:H60,"OK")</f>
        <v>4</v>
      </c>
      <c r="D28" s="14">
        <f>COUNTIFS('Cas — 1er passage'!B2:B60,A28,'Cas — 1er passage'!H2:H60,"KO")</f>
        <v>0</v>
      </c>
      <c r="E28" s="14">
        <f>COUNTIFS('Cas — 1er passage'!B2:B60,A28,'Cas — 1er passage'!H2:H60,"NT")</f>
        <v>0</v>
      </c>
      <c r="F28" s="15">
        <f t="shared" si="0"/>
        <v>1</v>
      </c>
    </row>
    <row r="29" spans="1:6" ht="15" customHeight="1" x14ac:dyDescent="0.25">
      <c r="A29" s="8" t="s">
        <v>33</v>
      </c>
      <c r="B29" s="14">
        <f>COUNTIF('Cas — 1er passage'!B2:B60,A29)</f>
        <v>9</v>
      </c>
      <c r="C29" s="14">
        <f>COUNTIFS('Cas — 1er passage'!B2:B60,A29,'Cas — 1er passage'!H2:H60,"OK")</f>
        <v>9</v>
      </c>
      <c r="D29" s="14">
        <f>COUNTIFS('Cas — 1er passage'!B2:B60,A29,'Cas — 1er passage'!H2:H60,"KO")</f>
        <v>0</v>
      </c>
      <c r="E29" s="14">
        <f>COUNTIFS('Cas — 1er passage'!B2:B60,A29,'Cas — 1er passage'!H2:H60,"NT")</f>
        <v>0</v>
      </c>
      <c r="F29" s="15">
        <f t="shared" si="0"/>
        <v>1</v>
      </c>
    </row>
    <row r="30" spans="1:6" ht="15" customHeight="1" x14ac:dyDescent="0.25">
      <c r="A30" s="8" t="s">
        <v>34</v>
      </c>
      <c r="B30" s="14">
        <f>COUNTIF('Cas — 1er passage'!B2:B60,A30)</f>
        <v>2</v>
      </c>
      <c r="C30" s="14">
        <f>COUNTIFS('Cas — 1er passage'!B2:B60,A30,'Cas — 1er passage'!H2:H60,"OK")</f>
        <v>2</v>
      </c>
      <c r="D30" s="14">
        <f>COUNTIFS('Cas — 1er passage'!B2:B60,A30,'Cas — 1er passage'!H2:H60,"KO")</f>
        <v>0</v>
      </c>
      <c r="E30" s="14">
        <f>COUNTIFS('Cas — 1er passage'!B2:B60,A30,'Cas — 1er passage'!H2:H60,"NT")</f>
        <v>0</v>
      </c>
      <c r="F30" s="15">
        <f t="shared" si="0"/>
        <v>1</v>
      </c>
    </row>
    <row r="31" spans="1:6" ht="15" customHeight="1" x14ac:dyDescent="0.25">
      <c r="A31" s="8" t="s">
        <v>35</v>
      </c>
      <c r="B31" s="14">
        <f>COUNTIF('Cas — 1er passage'!B2:B60,A31)</f>
        <v>2</v>
      </c>
      <c r="C31" s="14">
        <f>COUNTIFS('Cas — 1er passage'!B2:B60,A31,'Cas — 1er passage'!H2:H60,"OK")</f>
        <v>2</v>
      </c>
      <c r="D31" s="14">
        <f>COUNTIFS('Cas — 1er passage'!B2:B60,A31,'Cas — 1er passage'!H2:H60,"KO")</f>
        <v>0</v>
      </c>
      <c r="E31" s="14">
        <f>COUNTIFS('Cas — 1er passage'!B2:B60,A31,'Cas — 1er passage'!H2:H60,"NT")</f>
        <v>0</v>
      </c>
      <c r="F31" s="15">
        <f t="shared" si="0"/>
        <v>1</v>
      </c>
    </row>
    <row r="32" spans="1:6" ht="15" customHeight="1" x14ac:dyDescent="0.25">
      <c r="A32" s="8" t="s">
        <v>36</v>
      </c>
      <c r="B32" s="14">
        <f>COUNTIF('Cas — 1er passage'!B2:B60,A32)</f>
        <v>3</v>
      </c>
      <c r="C32" s="14">
        <f>COUNTIFS('Cas — 1er passage'!B2:B60,A32,'Cas — 1er passage'!H2:H60,"OK")</f>
        <v>3</v>
      </c>
      <c r="D32" s="14">
        <f>COUNTIFS('Cas — 1er passage'!B2:B60,A32,'Cas — 1er passage'!H2:H60,"KO")</f>
        <v>0</v>
      </c>
      <c r="E32" s="14">
        <f>COUNTIFS('Cas — 1er passage'!B2:B60,A32,'Cas — 1er passage'!H2:H60,"NT")</f>
        <v>0</v>
      </c>
      <c r="F32" s="15">
        <f t="shared" si="0"/>
        <v>1</v>
      </c>
    </row>
    <row r="33" spans="1:6" ht="15" customHeight="1" x14ac:dyDescent="0.25">
      <c r="A33" s="8" t="s">
        <v>37</v>
      </c>
      <c r="B33" s="14">
        <f>COUNTIF('Cas — 1er passage'!B2:B60,A33)</f>
        <v>6</v>
      </c>
      <c r="C33" s="14">
        <f>COUNTIFS('Cas — 1er passage'!B2:B60,A33,'Cas — 1er passage'!H2:H60,"OK")</f>
        <v>6</v>
      </c>
      <c r="D33" s="14">
        <f>COUNTIFS('Cas — 1er passage'!B2:B60,A33,'Cas — 1er passage'!H2:H60,"KO")</f>
        <v>0</v>
      </c>
      <c r="E33" s="14">
        <f>COUNTIFS('Cas — 1er passage'!B2:B60,A33,'Cas — 1er passage'!H2:H60,"NT")</f>
        <v>0</v>
      </c>
      <c r="F33" s="15">
        <f t="shared" si="0"/>
        <v>1</v>
      </c>
    </row>
    <row r="34" spans="1:6" ht="15" customHeight="1" x14ac:dyDescent="0.25">
      <c r="A34" s="8" t="s">
        <v>38</v>
      </c>
      <c r="B34" s="14">
        <f>COUNTIF('Cas — 1er passage'!B2:B60,A34)</f>
        <v>2</v>
      </c>
      <c r="C34" s="14">
        <f>COUNTIFS('Cas — 1er passage'!B2:B60,A34,'Cas — 1er passage'!H2:H60,"OK")</f>
        <v>1</v>
      </c>
      <c r="D34" s="14">
        <f>COUNTIFS('Cas — 1er passage'!B2:B60,A34,'Cas — 1er passage'!H2:H60,"KO")</f>
        <v>1</v>
      </c>
      <c r="E34" s="14">
        <f>COUNTIFS('Cas — 1er passage'!B2:B60,A34,'Cas — 1er passage'!H2:H60,"NT")</f>
        <v>0</v>
      </c>
      <c r="F34" s="15">
        <f t="shared" si="0"/>
        <v>0.5</v>
      </c>
    </row>
    <row r="35" spans="1:6" ht="15" customHeight="1" x14ac:dyDescent="0.25">
      <c r="A35" s="8" t="s">
        <v>39</v>
      </c>
      <c r="B35" s="14">
        <f>COUNTIF('Cas — 1er passage'!B2:B60,A35)</f>
        <v>4</v>
      </c>
      <c r="C35" s="14">
        <f>COUNTIFS('Cas — 1er passage'!B2:B60,A35,'Cas — 1er passage'!H2:H60,"OK")</f>
        <v>4</v>
      </c>
      <c r="D35" s="14">
        <f>COUNTIFS('Cas — 1er passage'!B2:B60,A35,'Cas — 1er passage'!H2:H60,"KO")</f>
        <v>0</v>
      </c>
      <c r="E35" s="14">
        <f>COUNTIFS('Cas — 1er passage'!B2:B60,A35,'Cas — 1er passage'!H2:H60,"NT")</f>
        <v>0</v>
      </c>
      <c r="F35" s="15">
        <f t="shared" si="0"/>
        <v>1</v>
      </c>
    </row>
    <row r="36" spans="1:6" ht="15" customHeight="1" x14ac:dyDescent="0.25">
      <c r="A36" s="8" t="s">
        <v>40</v>
      </c>
      <c r="B36" s="14">
        <f>COUNTIF('Cas — 1er passage'!B2:B60,A36)</f>
        <v>4</v>
      </c>
      <c r="C36" s="14">
        <f>COUNTIFS('Cas — 1er passage'!B2:B60,A36,'Cas — 1er passage'!H2:H60,"OK")</f>
        <v>4</v>
      </c>
      <c r="D36" s="14">
        <f>COUNTIFS('Cas — 1er passage'!B2:B60,A36,'Cas — 1er passage'!H2:H60,"KO")</f>
        <v>0</v>
      </c>
      <c r="E36" s="14">
        <f>COUNTIFS('Cas — 1er passage'!B2:B60,A36,'Cas — 1er passage'!H2:H60,"NT")</f>
        <v>0</v>
      </c>
      <c r="F36" s="15">
        <f t="shared" si="0"/>
        <v>1</v>
      </c>
    </row>
    <row r="37" spans="1:6" ht="15" customHeight="1" x14ac:dyDescent="0.25">
      <c r="A37" s="8" t="s">
        <v>41</v>
      </c>
      <c r="B37" s="14">
        <f>COUNTIF('Cas — 1er passage'!B2:B60,A37)</f>
        <v>4</v>
      </c>
      <c r="C37" s="14">
        <f>COUNTIFS('Cas — 1er passage'!B2:B60,A37,'Cas — 1er passage'!H2:H60,"OK")</f>
        <v>4</v>
      </c>
      <c r="D37" s="14">
        <f>COUNTIFS('Cas — 1er passage'!B2:B60,A37,'Cas — 1er passage'!H2:H60,"KO")</f>
        <v>0</v>
      </c>
      <c r="E37" s="14">
        <f>COUNTIFS('Cas — 1er passage'!B2:B60,A37,'Cas — 1er passage'!H2:H60,"NT")</f>
        <v>0</v>
      </c>
      <c r="F37" s="15">
        <f t="shared" si="0"/>
        <v>1</v>
      </c>
    </row>
    <row r="39" spans="1:6" ht="15" customHeight="1" x14ac:dyDescent="0.25">
      <c r="A39" s="7" t="s">
        <v>42</v>
      </c>
    </row>
    <row r="40" spans="1:6" ht="24" customHeight="1" x14ac:dyDescent="0.25">
      <c r="A40" s="1" t="s">
        <v>43</v>
      </c>
      <c r="B40" s="1"/>
      <c r="C40" s="1"/>
      <c r="D40" s="1"/>
      <c r="E40" s="1"/>
      <c r="F40" s="1"/>
    </row>
    <row r="41" spans="1:6" ht="24" customHeight="1" x14ac:dyDescent="0.25">
      <c r="A41" s="1" t="s">
        <v>44</v>
      </c>
      <c r="B41" s="1"/>
      <c r="C41" s="1"/>
      <c r="D41" s="1"/>
      <c r="E41" s="1"/>
      <c r="F41" s="1"/>
    </row>
    <row r="42" spans="1:6" ht="24" customHeight="1" x14ac:dyDescent="0.25">
      <c r="A42" s="1" t="s">
        <v>45</v>
      </c>
      <c r="B42" s="1"/>
      <c r="C42" s="1"/>
      <c r="D42" s="1"/>
      <c r="E42" s="1"/>
      <c r="F42" s="1"/>
    </row>
    <row r="43" spans="1:6" ht="24" customHeight="1" x14ac:dyDescent="0.25">
      <c r="A43" s="1" t="s">
        <v>46</v>
      </c>
      <c r="B43" s="1"/>
      <c r="C43" s="1"/>
      <c r="D43" s="1"/>
      <c r="E43" s="1"/>
      <c r="F43" s="1"/>
    </row>
    <row r="44" spans="1:6" ht="24" customHeight="1" x14ac:dyDescent="0.25">
      <c r="A44" s="1" t="s">
        <v>47</v>
      </c>
      <c r="B44" s="1"/>
      <c r="C44" s="1"/>
      <c r="D44" s="1"/>
      <c r="E44" s="1"/>
      <c r="F44" s="1"/>
    </row>
  </sheetData>
  <mergeCells count="11">
    <mergeCell ref="A44:F44"/>
    <mergeCell ref="B20:E20"/>
    <mergeCell ref="A40:F40"/>
    <mergeCell ref="A41:F41"/>
    <mergeCell ref="A42:F42"/>
    <mergeCell ref="A43:F43"/>
    <mergeCell ref="B4:F4"/>
    <mergeCell ref="B5:F5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zoomScaleNormal="100" workbookViewId="0"/>
  </sheetViews>
  <sheetFormatPr baseColWidth="10" defaultColWidth="8.7109375" defaultRowHeight="15" x14ac:dyDescent="0.25"/>
  <cols>
    <col min="1" max="1" width="9" customWidth="1"/>
    <col min="2" max="2" width="15" customWidth="1"/>
    <col min="3" max="3" width="16" customWidth="1"/>
    <col min="4" max="4" width="30" customWidth="1"/>
    <col min="5" max="5" width="46" customWidth="1"/>
    <col min="6" max="6" width="44" customWidth="1"/>
    <col min="7" max="7" width="10" customWidth="1"/>
    <col min="8" max="8" width="8" customWidth="1"/>
    <col min="9" max="9" width="30" customWidth="1"/>
    <col min="10" max="10" width="10" customWidth="1"/>
    <col min="11" max="11" width="11" customWidth="1"/>
  </cols>
  <sheetData>
    <row r="1" spans="1:11" ht="25.5" customHeight="1" x14ac:dyDescent="0.25">
      <c r="A1" s="16" t="s">
        <v>48</v>
      </c>
      <c r="B1" s="16" t="s">
        <v>23</v>
      </c>
      <c r="C1" s="16" t="s">
        <v>49</v>
      </c>
      <c r="D1" s="16" t="s">
        <v>50</v>
      </c>
      <c r="E1" s="16" t="s">
        <v>51</v>
      </c>
      <c r="F1" s="16" t="s">
        <v>52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</row>
    <row r="2" spans="1:11" ht="34.5" customHeight="1" x14ac:dyDescent="0.25">
      <c r="A2" s="17" t="s">
        <v>58</v>
      </c>
      <c r="B2" s="18" t="s">
        <v>29</v>
      </c>
      <c r="C2" s="18" t="s">
        <v>59</v>
      </c>
      <c r="D2" s="18" t="s">
        <v>60</v>
      </c>
      <c r="E2" s="18" t="s">
        <v>61</v>
      </c>
      <c r="F2" s="18" t="s">
        <v>62</v>
      </c>
      <c r="G2" s="19" t="s">
        <v>63</v>
      </c>
      <c r="H2" s="17" t="s">
        <v>25</v>
      </c>
      <c r="I2" s="18" t="s">
        <v>64</v>
      </c>
      <c r="J2" s="17" t="s">
        <v>65</v>
      </c>
      <c r="K2" s="17" t="s">
        <v>66</v>
      </c>
    </row>
    <row r="3" spans="1:11" ht="34.5" customHeight="1" x14ac:dyDescent="0.25">
      <c r="A3" s="17" t="s">
        <v>67</v>
      </c>
      <c r="B3" s="18" t="s">
        <v>29</v>
      </c>
      <c r="C3" s="18" t="s">
        <v>59</v>
      </c>
      <c r="D3" s="18" t="s">
        <v>68</v>
      </c>
      <c r="E3" s="18" t="s">
        <v>69</v>
      </c>
      <c r="F3" s="18" t="s">
        <v>70</v>
      </c>
      <c r="G3" s="19" t="s">
        <v>63</v>
      </c>
      <c r="H3" s="17" t="s">
        <v>25</v>
      </c>
      <c r="I3" s="18" t="s">
        <v>71</v>
      </c>
      <c r="J3" s="17" t="s">
        <v>65</v>
      </c>
      <c r="K3" s="17" t="s">
        <v>66</v>
      </c>
    </row>
    <row r="4" spans="1:11" ht="23.25" customHeight="1" x14ac:dyDescent="0.25">
      <c r="A4" s="17" t="s">
        <v>72</v>
      </c>
      <c r="B4" s="18" t="s">
        <v>29</v>
      </c>
      <c r="C4" s="18" t="s">
        <v>59</v>
      </c>
      <c r="D4" s="18" t="s">
        <v>73</v>
      </c>
      <c r="E4" s="18" t="s">
        <v>74</v>
      </c>
      <c r="F4" s="18" t="s">
        <v>75</v>
      </c>
      <c r="G4" s="17" t="s">
        <v>76</v>
      </c>
      <c r="H4" s="17" t="s">
        <v>25</v>
      </c>
      <c r="I4" s="18" t="s">
        <v>77</v>
      </c>
      <c r="J4" s="17" t="s">
        <v>65</v>
      </c>
      <c r="K4" s="17" t="s">
        <v>66</v>
      </c>
    </row>
    <row r="5" spans="1:11" ht="23.25" customHeight="1" x14ac:dyDescent="0.25">
      <c r="A5" s="17" t="s">
        <v>78</v>
      </c>
      <c r="B5" s="18" t="s">
        <v>29</v>
      </c>
      <c r="C5" s="18" t="s">
        <v>59</v>
      </c>
      <c r="D5" s="18" t="s">
        <v>79</v>
      </c>
      <c r="E5" s="18" t="s">
        <v>80</v>
      </c>
      <c r="F5" s="18" t="s">
        <v>81</v>
      </c>
      <c r="G5" s="17" t="s">
        <v>76</v>
      </c>
      <c r="H5" s="17" t="s">
        <v>25</v>
      </c>
      <c r="I5" s="18" t="s">
        <v>82</v>
      </c>
      <c r="J5" s="17" t="s">
        <v>65</v>
      </c>
      <c r="K5" s="17" t="s">
        <v>66</v>
      </c>
    </row>
    <row r="6" spans="1:11" ht="23.25" customHeight="1" x14ac:dyDescent="0.25">
      <c r="A6" s="17" t="s">
        <v>83</v>
      </c>
      <c r="B6" s="18" t="s">
        <v>29</v>
      </c>
      <c r="C6" s="18" t="s">
        <v>59</v>
      </c>
      <c r="D6" s="18" t="s">
        <v>84</v>
      </c>
      <c r="E6" s="18" t="s">
        <v>85</v>
      </c>
      <c r="F6" s="18" t="s">
        <v>86</v>
      </c>
      <c r="G6" s="17" t="s">
        <v>76</v>
      </c>
      <c r="H6" s="17" t="s">
        <v>25</v>
      </c>
      <c r="I6" s="18" t="s">
        <v>87</v>
      </c>
      <c r="J6" s="17" t="s">
        <v>65</v>
      </c>
      <c r="K6" s="17" t="s">
        <v>66</v>
      </c>
    </row>
    <row r="7" spans="1:11" ht="23.25" customHeight="1" x14ac:dyDescent="0.25">
      <c r="A7" s="17" t="s">
        <v>88</v>
      </c>
      <c r="B7" s="18" t="s">
        <v>29</v>
      </c>
      <c r="C7" s="18" t="s">
        <v>59</v>
      </c>
      <c r="D7" s="18" t="s">
        <v>89</v>
      </c>
      <c r="E7" s="18" t="s">
        <v>90</v>
      </c>
      <c r="F7" s="18" t="s">
        <v>91</v>
      </c>
      <c r="G7" s="17" t="s">
        <v>92</v>
      </c>
      <c r="H7" s="17" t="s">
        <v>25</v>
      </c>
      <c r="I7" s="18" t="s">
        <v>93</v>
      </c>
      <c r="J7" s="17" t="s">
        <v>65</v>
      </c>
      <c r="K7" s="17" t="s">
        <v>66</v>
      </c>
    </row>
    <row r="8" spans="1:11" ht="23.25" customHeight="1" x14ac:dyDescent="0.25">
      <c r="A8" s="17" t="s">
        <v>94</v>
      </c>
      <c r="B8" s="18" t="s">
        <v>30</v>
      </c>
      <c r="C8" s="18" t="s">
        <v>59</v>
      </c>
      <c r="D8" s="18" t="s">
        <v>95</v>
      </c>
      <c r="E8" s="18" t="s">
        <v>96</v>
      </c>
      <c r="F8" s="18" t="s">
        <v>97</v>
      </c>
      <c r="G8" s="19" t="s">
        <v>63</v>
      </c>
      <c r="H8" s="17" t="s">
        <v>25</v>
      </c>
      <c r="I8" s="18" t="s">
        <v>98</v>
      </c>
      <c r="J8" s="17" t="s">
        <v>65</v>
      </c>
      <c r="K8" s="17" t="s">
        <v>66</v>
      </c>
    </row>
    <row r="9" spans="1:11" ht="23.25" customHeight="1" x14ac:dyDescent="0.25">
      <c r="A9" s="17" t="s">
        <v>99</v>
      </c>
      <c r="B9" s="18" t="s">
        <v>30</v>
      </c>
      <c r="C9" s="18" t="s">
        <v>59</v>
      </c>
      <c r="D9" s="18" t="s">
        <v>100</v>
      </c>
      <c r="E9" s="18" t="s">
        <v>101</v>
      </c>
      <c r="F9" s="18" t="s">
        <v>102</v>
      </c>
      <c r="G9" s="17" t="s">
        <v>76</v>
      </c>
      <c r="H9" s="17" t="s">
        <v>25</v>
      </c>
      <c r="I9" s="18" t="s">
        <v>103</v>
      </c>
      <c r="J9" s="17" t="s">
        <v>65</v>
      </c>
      <c r="K9" s="17" t="s">
        <v>66</v>
      </c>
    </row>
    <row r="10" spans="1:11" ht="34.5" customHeight="1" x14ac:dyDescent="0.25">
      <c r="A10" s="17" t="s">
        <v>104</v>
      </c>
      <c r="B10" s="18" t="s">
        <v>30</v>
      </c>
      <c r="C10" s="18" t="s">
        <v>59</v>
      </c>
      <c r="D10" s="18" t="s">
        <v>105</v>
      </c>
      <c r="E10" s="18" t="s">
        <v>106</v>
      </c>
      <c r="F10" s="18" t="s">
        <v>107</v>
      </c>
      <c r="G10" s="17" t="s">
        <v>76</v>
      </c>
      <c r="H10" s="17" t="s">
        <v>25</v>
      </c>
      <c r="I10" s="18" t="s">
        <v>108</v>
      </c>
      <c r="J10" s="17" t="s">
        <v>65</v>
      </c>
      <c r="K10" s="17" t="s">
        <v>66</v>
      </c>
    </row>
    <row r="11" spans="1:11" ht="34.5" customHeight="1" x14ac:dyDescent="0.25">
      <c r="A11" s="17" t="s">
        <v>109</v>
      </c>
      <c r="B11" s="18" t="s">
        <v>30</v>
      </c>
      <c r="C11" s="18" t="s">
        <v>59</v>
      </c>
      <c r="D11" s="18" t="s">
        <v>110</v>
      </c>
      <c r="E11" s="18" t="s">
        <v>111</v>
      </c>
      <c r="F11" s="18" t="s">
        <v>112</v>
      </c>
      <c r="G11" s="19" t="s">
        <v>63</v>
      </c>
      <c r="H11" s="17" t="s">
        <v>25</v>
      </c>
      <c r="I11" s="18" t="s">
        <v>113</v>
      </c>
      <c r="J11" s="17" t="s">
        <v>65</v>
      </c>
      <c r="K11" s="17" t="s">
        <v>66</v>
      </c>
    </row>
    <row r="12" spans="1:11" ht="23.25" customHeight="1" x14ac:dyDescent="0.25">
      <c r="A12" s="17" t="s">
        <v>114</v>
      </c>
      <c r="B12" s="18" t="s">
        <v>30</v>
      </c>
      <c r="C12" s="18" t="s">
        <v>59</v>
      </c>
      <c r="D12" s="18" t="s">
        <v>115</v>
      </c>
      <c r="E12" s="18" t="s">
        <v>116</v>
      </c>
      <c r="F12" s="18" t="s">
        <v>117</v>
      </c>
      <c r="G12" s="17" t="s">
        <v>76</v>
      </c>
      <c r="H12" s="17" t="s">
        <v>25</v>
      </c>
      <c r="I12" s="18" t="s">
        <v>118</v>
      </c>
      <c r="J12" s="17" t="s">
        <v>65</v>
      </c>
      <c r="K12" s="17" t="s">
        <v>66</v>
      </c>
    </row>
    <row r="13" spans="1:11" ht="34.5" customHeight="1" x14ac:dyDescent="0.25">
      <c r="A13" s="17" t="s">
        <v>119</v>
      </c>
      <c r="B13" s="18" t="s">
        <v>31</v>
      </c>
      <c r="C13" s="18" t="s">
        <v>120</v>
      </c>
      <c r="D13" s="18" t="s">
        <v>121</v>
      </c>
      <c r="E13" s="18" t="s">
        <v>122</v>
      </c>
      <c r="F13" s="18" t="s">
        <v>123</v>
      </c>
      <c r="G13" s="19" t="s">
        <v>63</v>
      </c>
      <c r="H13" s="17" t="s">
        <v>25</v>
      </c>
      <c r="I13" s="18" t="s">
        <v>124</v>
      </c>
      <c r="J13" s="17" t="s">
        <v>65</v>
      </c>
      <c r="K13" s="17" t="s">
        <v>66</v>
      </c>
    </row>
    <row r="14" spans="1:11" ht="23.25" customHeight="1" x14ac:dyDescent="0.25">
      <c r="A14" s="17" t="s">
        <v>125</v>
      </c>
      <c r="B14" s="18" t="s">
        <v>31</v>
      </c>
      <c r="C14" s="18" t="s">
        <v>120</v>
      </c>
      <c r="D14" s="18" t="s">
        <v>126</v>
      </c>
      <c r="E14" s="18" t="s">
        <v>127</v>
      </c>
      <c r="F14" s="18" t="s">
        <v>128</v>
      </c>
      <c r="G14" s="17" t="s">
        <v>76</v>
      </c>
      <c r="H14" s="17" t="s">
        <v>25</v>
      </c>
      <c r="I14" s="18" t="s">
        <v>129</v>
      </c>
      <c r="J14" s="17" t="s">
        <v>65</v>
      </c>
      <c r="K14" s="17" t="s">
        <v>66</v>
      </c>
    </row>
    <row r="15" spans="1:11" ht="23.25" customHeight="1" x14ac:dyDescent="0.25">
      <c r="A15" s="17" t="s">
        <v>130</v>
      </c>
      <c r="B15" s="18" t="s">
        <v>31</v>
      </c>
      <c r="C15" s="18" t="s">
        <v>120</v>
      </c>
      <c r="D15" s="18" t="s">
        <v>131</v>
      </c>
      <c r="E15" s="18" t="s">
        <v>132</v>
      </c>
      <c r="F15" s="18" t="s">
        <v>133</v>
      </c>
      <c r="G15" s="17" t="s">
        <v>76</v>
      </c>
      <c r="H15" s="17" t="s">
        <v>25</v>
      </c>
      <c r="I15" s="18" t="s">
        <v>134</v>
      </c>
      <c r="J15" s="17" t="s">
        <v>65</v>
      </c>
      <c r="K15" s="17" t="s">
        <v>66</v>
      </c>
    </row>
    <row r="16" spans="1:11" ht="23.25" customHeight="1" x14ac:dyDescent="0.25">
      <c r="A16" s="17" t="s">
        <v>135</v>
      </c>
      <c r="B16" s="18" t="s">
        <v>31</v>
      </c>
      <c r="C16" s="18" t="s">
        <v>120</v>
      </c>
      <c r="D16" s="18" t="s">
        <v>136</v>
      </c>
      <c r="E16" s="18" t="s">
        <v>137</v>
      </c>
      <c r="F16" s="18" t="s">
        <v>138</v>
      </c>
      <c r="G16" s="17" t="s">
        <v>76</v>
      </c>
      <c r="H16" s="17" t="s">
        <v>25</v>
      </c>
      <c r="I16" s="18" t="s">
        <v>139</v>
      </c>
      <c r="J16" s="17" t="s">
        <v>65</v>
      </c>
      <c r="K16" s="17" t="s">
        <v>66</v>
      </c>
    </row>
    <row r="17" spans="1:11" ht="23.25" customHeight="1" x14ac:dyDescent="0.25">
      <c r="A17" s="17" t="s">
        <v>140</v>
      </c>
      <c r="B17" s="18" t="s">
        <v>31</v>
      </c>
      <c r="C17" s="18" t="s">
        <v>120</v>
      </c>
      <c r="D17" s="18" t="s">
        <v>141</v>
      </c>
      <c r="E17" s="18" t="s">
        <v>142</v>
      </c>
      <c r="F17" s="18" t="s">
        <v>143</v>
      </c>
      <c r="G17" s="17" t="s">
        <v>76</v>
      </c>
      <c r="H17" s="17" t="s">
        <v>25</v>
      </c>
      <c r="I17" s="18" t="s">
        <v>144</v>
      </c>
      <c r="J17" s="17" t="s">
        <v>65</v>
      </c>
      <c r="K17" s="17" t="s">
        <v>66</v>
      </c>
    </row>
    <row r="18" spans="1:11" ht="23.25" customHeight="1" x14ac:dyDescent="0.25">
      <c r="A18" s="17" t="s">
        <v>145</v>
      </c>
      <c r="B18" s="18" t="s">
        <v>31</v>
      </c>
      <c r="C18" s="18" t="s">
        <v>120</v>
      </c>
      <c r="D18" s="18" t="s">
        <v>146</v>
      </c>
      <c r="E18" s="18" t="s">
        <v>147</v>
      </c>
      <c r="F18" s="18" t="s">
        <v>148</v>
      </c>
      <c r="G18" s="17" t="s">
        <v>92</v>
      </c>
      <c r="H18" s="17" t="s">
        <v>25</v>
      </c>
      <c r="I18" s="18" t="s">
        <v>149</v>
      </c>
      <c r="J18" s="17" t="s">
        <v>65</v>
      </c>
      <c r="K18" s="17" t="s">
        <v>66</v>
      </c>
    </row>
    <row r="19" spans="1:11" ht="23.25" customHeight="1" x14ac:dyDescent="0.25">
      <c r="A19" s="17" t="s">
        <v>150</v>
      </c>
      <c r="B19" s="18" t="s">
        <v>31</v>
      </c>
      <c r="C19" s="18" t="s">
        <v>120</v>
      </c>
      <c r="D19" s="18" t="s">
        <v>151</v>
      </c>
      <c r="E19" s="18" t="s">
        <v>152</v>
      </c>
      <c r="F19" s="18" t="s">
        <v>81</v>
      </c>
      <c r="G19" s="17" t="s">
        <v>76</v>
      </c>
      <c r="H19" s="17" t="s">
        <v>25</v>
      </c>
      <c r="I19" s="18" t="s">
        <v>153</v>
      </c>
      <c r="J19" s="17" t="s">
        <v>65</v>
      </c>
      <c r="K19" s="17" t="s">
        <v>66</v>
      </c>
    </row>
    <row r="20" spans="1:11" ht="23.25" customHeight="1" x14ac:dyDescent="0.25">
      <c r="A20" s="17" t="s">
        <v>154</v>
      </c>
      <c r="B20" s="18" t="s">
        <v>31</v>
      </c>
      <c r="C20" s="18" t="s">
        <v>120</v>
      </c>
      <c r="D20" s="18" t="s">
        <v>155</v>
      </c>
      <c r="E20" s="18" t="s">
        <v>156</v>
      </c>
      <c r="F20" s="18" t="s">
        <v>157</v>
      </c>
      <c r="G20" s="17" t="s">
        <v>92</v>
      </c>
      <c r="H20" s="17" t="s">
        <v>25</v>
      </c>
      <c r="I20" s="18" t="s">
        <v>158</v>
      </c>
      <c r="J20" s="17" t="s">
        <v>65</v>
      </c>
      <c r="K20" s="17" t="s">
        <v>66</v>
      </c>
    </row>
    <row r="21" spans="1:11" ht="23.25" customHeight="1" x14ac:dyDescent="0.25">
      <c r="A21" s="17" t="s">
        <v>159</v>
      </c>
      <c r="B21" s="18" t="s">
        <v>32</v>
      </c>
      <c r="C21" s="18" t="s">
        <v>160</v>
      </c>
      <c r="D21" s="18" t="s">
        <v>161</v>
      </c>
      <c r="E21" s="18" t="s">
        <v>162</v>
      </c>
      <c r="F21" s="18" t="s">
        <v>163</v>
      </c>
      <c r="G21" s="17" t="s">
        <v>76</v>
      </c>
      <c r="H21" s="17" t="s">
        <v>25</v>
      </c>
      <c r="I21" s="18" t="s">
        <v>164</v>
      </c>
      <c r="J21" s="17" t="s">
        <v>65</v>
      </c>
      <c r="K21" s="17" t="s">
        <v>165</v>
      </c>
    </row>
    <row r="22" spans="1:11" ht="34.5" customHeight="1" x14ac:dyDescent="0.25">
      <c r="A22" s="17" t="s">
        <v>166</v>
      </c>
      <c r="B22" s="18" t="s">
        <v>32</v>
      </c>
      <c r="C22" s="18" t="s">
        <v>160</v>
      </c>
      <c r="D22" s="18" t="s">
        <v>167</v>
      </c>
      <c r="E22" s="18" t="s">
        <v>168</v>
      </c>
      <c r="F22" s="18" t="s">
        <v>169</v>
      </c>
      <c r="G22" s="17" t="s">
        <v>76</v>
      </c>
      <c r="H22" s="17" t="s">
        <v>25</v>
      </c>
      <c r="I22" s="18" t="s">
        <v>170</v>
      </c>
      <c r="J22" s="17" t="s">
        <v>65</v>
      </c>
      <c r="K22" s="17" t="s">
        <v>165</v>
      </c>
    </row>
    <row r="23" spans="1:11" ht="23.25" customHeight="1" x14ac:dyDescent="0.25">
      <c r="A23" s="17" t="s">
        <v>171</v>
      </c>
      <c r="B23" s="18" t="s">
        <v>32</v>
      </c>
      <c r="C23" s="18" t="s">
        <v>160</v>
      </c>
      <c r="D23" s="18" t="s">
        <v>172</v>
      </c>
      <c r="E23" s="18" t="s">
        <v>173</v>
      </c>
      <c r="F23" s="18" t="s">
        <v>174</v>
      </c>
      <c r="G23" s="17" t="s">
        <v>92</v>
      </c>
      <c r="H23" s="17" t="s">
        <v>25</v>
      </c>
      <c r="I23" s="18" t="s">
        <v>175</v>
      </c>
      <c r="J23" s="17" t="s">
        <v>65</v>
      </c>
      <c r="K23" s="17" t="s">
        <v>165</v>
      </c>
    </row>
    <row r="24" spans="1:11" ht="23.25" customHeight="1" x14ac:dyDescent="0.25">
      <c r="A24" s="17" t="s">
        <v>176</v>
      </c>
      <c r="B24" s="18" t="s">
        <v>32</v>
      </c>
      <c r="C24" s="18" t="s">
        <v>160</v>
      </c>
      <c r="D24" s="18" t="s">
        <v>177</v>
      </c>
      <c r="E24" s="18" t="s">
        <v>178</v>
      </c>
      <c r="F24" s="18" t="s">
        <v>179</v>
      </c>
      <c r="G24" s="17" t="s">
        <v>76</v>
      </c>
      <c r="H24" s="17" t="s">
        <v>25</v>
      </c>
      <c r="I24" s="18" t="s">
        <v>180</v>
      </c>
      <c r="J24" s="17" t="s">
        <v>65</v>
      </c>
      <c r="K24" s="17" t="s">
        <v>165</v>
      </c>
    </row>
    <row r="25" spans="1:11" ht="23.25" customHeight="1" x14ac:dyDescent="0.25">
      <c r="A25" s="17" t="s">
        <v>181</v>
      </c>
      <c r="B25" s="18" t="s">
        <v>33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9" t="s">
        <v>63</v>
      </c>
      <c r="H25" s="17" t="s">
        <v>25</v>
      </c>
      <c r="I25" s="18" t="s">
        <v>186</v>
      </c>
      <c r="J25" s="17" t="s">
        <v>65</v>
      </c>
      <c r="K25" s="17" t="s">
        <v>165</v>
      </c>
    </row>
    <row r="26" spans="1:11" ht="15" customHeight="1" x14ac:dyDescent="0.25">
      <c r="A26" s="17" t="s">
        <v>187</v>
      </c>
      <c r="B26" s="18" t="s">
        <v>33</v>
      </c>
      <c r="C26" s="18" t="s">
        <v>182</v>
      </c>
      <c r="D26" s="18" t="s">
        <v>188</v>
      </c>
      <c r="E26" s="18" t="s">
        <v>189</v>
      </c>
      <c r="F26" s="18" t="s">
        <v>190</v>
      </c>
      <c r="G26" s="19" t="s">
        <v>63</v>
      </c>
      <c r="H26" s="17" t="s">
        <v>25</v>
      </c>
      <c r="I26" s="18" t="s">
        <v>191</v>
      </c>
      <c r="J26" s="17" t="s">
        <v>65</v>
      </c>
      <c r="K26" s="17" t="s">
        <v>165</v>
      </c>
    </row>
    <row r="27" spans="1:11" ht="15" customHeight="1" x14ac:dyDescent="0.25">
      <c r="A27" s="17" t="s">
        <v>192</v>
      </c>
      <c r="B27" s="18" t="s">
        <v>33</v>
      </c>
      <c r="C27" s="18" t="s">
        <v>182</v>
      </c>
      <c r="D27" s="18" t="s">
        <v>193</v>
      </c>
      <c r="E27" s="18" t="s">
        <v>194</v>
      </c>
      <c r="F27" s="18" t="s">
        <v>195</v>
      </c>
      <c r="G27" s="19" t="s">
        <v>63</v>
      </c>
      <c r="H27" s="17" t="s">
        <v>25</v>
      </c>
      <c r="I27" s="18" t="s">
        <v>196</v>
      </c>
      <c r="J27" s="17" t="s">
        <v>65</v>
      </c>
      <c r="K27" s="17" t="s">
        <v>165</v>
      </c>
    </row>
    <row r="28" spans="1:11" ht="15" customHeight="1" x14ac:dyDescent="0.25">
      <c r="A28" s="17" t="s">
        <v>197</v>
      </c>
      <c r="B28" s="18" t="s">
        <v>33</v>
      </c>
      <c r="C28" s="18" t="s">
        <v>182</v>
      </c>
      <c r="D28" s="18" t="s">
        <v>198</v>
      </c>
      <c r="E28" s="18" t="s">
        <v>199</v>
      </c>
      <c r="F28" s="18" t="s">
        <v>200</v>
      </c>
      <c r="G28" s="19" t="s">
        <v>63</v>
      </c>
      <c r="H28" s="17" t="s">
        <v>25</v>
      </c>
      <c r="I28" s="18" t="s">
        <v>201</v>
      </c>
      <c r="J28" s="17" t="s">
        <v>65</v>
      </c>
      <c r="K28" s="17" t="s">
        <v>165</v>
      </c>
    </row>
    <row r="29" spans="1:11" ht="23.25" customHeight="1" x14ac:dyDescent="0.25">
      <c r="A29" s="17" t="s">
        <v>202</v>
      </c>
      <c r="B29" s="18" t="s">
        <v>33</v>
      </c>
      <c r="C29" s="18" t="s">
        <v>182</v>
      </c>
      <c r="D29" s="18" t="s">
        <v>203</v>
      </c>
      <c r="E29" s="18" t="s">
        <v>204</v>
      </c>
      <c r="F29" s="18" t="s">
        <v>205</v>
      </c>
      <c r="G29" s="19" t="s">
        <v>63</v>
      </c>
      <c r="H29" s="17" t="s">
        <v>25</v>
      </c>
      <c r="I29" s="18" t="s">
        <v>206</v>
      </c>
      <c r="J29" s="17" t="s">
        <v>65</v>
      </c>
      <c r="K29" s="17" t="s">
        <v>165</v>
      </c>
    </row>
    <row r="30" spans="1:11" ht="23.25" customHeight="1" x14ac:dyDescent="0.25">
      <c r="A30" s="17" t="s">
        <v>207</v>
      </c>
      <c r="B30" s="18" t="s">
        <v>33</v>
      </c>
      <c r="C30" s="18" t="s">
        <v>182</v>
      </c>
      <c r="D30" s="18" t="s">
        <v>208</v>
      </c>
      <c r="E30" s="18" t="s">
        <v>209</v>
      </c>
      <c r="F30" s="18" t="s">
        <v>210</v>
      </c>
      <c r="G30" s="17" t="s">
        <v>76</v>
      </c>
      <c r="H30" s="17" t="s">
        <v>25</v>
      </c>
      <c r="I30" s="18" t="s">
        <v>210</v>
      </c>
      <c r="J30" s="17" t="s">
        <v>65</v>
      </c>
      <c r="K30" s="17" t="s">
        <v>165</v>
      </c>
    </row>
    <row r="31" spans="1:11" ht="23.25" customHeight="1" x14ac:dyDescent="0.25">
      <c r="A31" s="17" t="s">
        <v>211</v>
      </c>
      <c r="B31" s="18" t="s">
        <v>33</v>
      </c>
      <c r="C31" s="18" t="s">
        <v>182</v>
      </c>
      <c r="D31" s="18" t="s">
        <v>212</v>
      </c>
      <c r="E31" s="18" t="s">
        <v>213</v>
      </c>
      <c r="F31" s="18" t="s">
        <v>214</v>
      </c>
      <c r="G31" s="17" t="s">
        <v>76</v>
      </c>
      <c r="H31" s="17" t="s">
        <v>25</v>
      </c>
      <c r="I31" s="18" t="s">
        <v>215</v>
      </c>
      <c r="J31" s="17" t="s">
        <v>65</v>
      </c>
      <c r="K31" s="17" t="s">
        <v>165</v>
      </c>
    </row>
    <row r="32" spans="1:11" ht="23.25" customHeight="1" x14ac:dyDescent="0.25">
      <c r="A32" s="17" t="s">
        <v>216</v>
      </c>
      <c r="B32" s="18" t="s">
        <v>33</v>
      </c>
      <c r="C32" s="18" t="s">
        <v>182</v>
      </c>
      <c r="D32" s="18" t="s">
        <v>217</v>
      </c>
      <c r="E32" s="18" t="s">
        <v>218</v>
      </c>
      <c r="F32" s="18" t="s">
        <v>219</v>
      </c>
      <c r="G32" s="17" t="s">
        <v>92</v>
      </c>
      <c r="H32" s="17" t="s">
        <v>25</v>
      </c>
      <c r="I32" s="18" t="s">
        <v>220</v>
      </c>
      <c r="J32" s="17" t="s">
        <v>65</v>
      </c>
      <c r="K32" s="17" t="s">
        <v>165</v>
      </c>
    </row>
    <row r="33" spans="1:11" ht="15" customHeight="1" x14ac:dyDescent="0.25">
      <c r="A33" s="17" t="s">
        <v>221</v>
      </c>
      <c r="B33" s="18" t="s">
        <v>33</v>
      </c>
      <c r="C33" s="18" t="s">
        <v>182</v>
      </c>
      <c r="D33" s="18" t="s">
        <v>222</v>
      </c>
      <c r="E33" s="18" t="s">
        <v>223</v>
      </c>
      <c r="F33" s="18" t="s">
        <v>81</v>
      </c>
      <c r="G33" s="17" t="s">
        <v>76</v>
      </c>
      <c r="H33" s="17" t="s">
        <v>25</v>
      </c>
      <c r="I33" s="18" t="s">
        <v>224</v>
      </c>
      <c r="J33" s="17" t="s">
        <v>65</v>
      </c>
      <c r="K33" s="17" t="s">
        <v>165</v>
      </c>
    </row>
    <row r="34" spans="1:11" ht="34.5" customHeight="1" x14ac:dyDescent="0.25">
      <c r="A34" s="17" t="s">
        <v>225</v>
      </c>
      <c r="B34" s="18" t="s">
        <v>34</v>
      </c>
      <c r="C34" s="18" t="s">
        <v>226</v>
      </c>
      <c r="D34" s="18" t="s">
        <v>227</v>
      </c>
      <c r="E34" s="18" t="s">
        <v>228</v>
      </c>
      <c r="F34" s="18" t="s">
        <v>229</v>
      </c>
      <c r="G34" s="17" t="s">
        <v>76</v>
      </c>
      <c r="H34" s="17" t="s">
        <v>25</v>
      </c>
      <c r="I34" s="18" t="s">
        <v>230</v>
      </c>
      <c r="J34" s="17" t="s">
        <v>65</v>
      </c>
      <c r="K34" s="17" t="s">
        <v>165</v>
      </c>
    </row>
    <row r="35" spans="1:11" ht="23.25" customHeight="1" x14ac:dyDescent="0.25">
      <c r="A35" s="17" t="s">
        <v>231</v>
      </c>
      <c r="B35" s="18" t="s">
        <v>34</v>
      </c>
      <c r="C35" s="18" t="s">
        <v>226</v>
      </c>
      <c r="D35" s="18" t="s">
        <v>232</v>
      </c>
      <c r="E35" s="18" t="s">
        <v>233</v>
      </c>
      <c r="F35" s="18" t="s">
        <v>234</v>
      </c>
      <c r="G35" s="17" t="s">
        <v>92</v>
      </c>
      <c r="H35" s="17" t="s">
        <v>25</v>
      </c>
      <c r="I35" s="18" t="s">
        <v>235</v>
      </c>
      <c r="J35" s="17" t="s">
        <v>65</v>
      </c>
      <c r="K35" s="17" t="s">
        <v>165</v>
      </c>
    </row>
    <row r="36" spans="1:11" ht="34.5" customHeight="1" x14ac:dyDescent="0.25">
      <c r="A36" s="17" t="s">
        <v>236</v>
      </c>
      <c r="B36" s="18" t="s">
        <v>35</v>
      </c>
      <c r="C36" s="18" t="s">
        <v>237</v>
      </c>
      <c r="D36" s="18" t="s">
        <v>238</v>
      </c>
      <c r="E36" s="18" t="s">
        <v>239</v>
      </c>
      <c r="F36" s="18" t="s">
        <v>240</v>
      </c>
      <c r="G36" s="17" t="s">
        <v>76</v>
      </c>
      <c r="H36" s="17" t="s">
        <v>25</v>
      </c>
      <c r="I36" s="18" t="s">
        <v>241</v>
      </c>
      <c r="J36" s="17" t="s">
        <v>65</v>
      </c>
      <c r="K36" s="17" t="s">
        <v>165</v>
      </c>
    </row>
    <row r="37" spans="1:11" ht="23.25" customHeight="1" x14ac:dyDescent="0.25">
      <c r="A37" s="17" t="s">
        <v>242</v>
      </c>
      <c r="B37" s="18" t="s">
        <v>35</v>
      </c>
      <c r="C37" s="18" t="s">
        <v>237</v>
      </c>
      <c r="D37" s="18" t="s">
        <v>243</v>
      </c>
      <c r="E37" s="18" t="s">
        <v>244</v>
      </c>
      <c r="F37" s="18" t="s">
        <v>245</v>
      </c>
      <c r="G37" s="17" t="s">
        <v>92</v>
      </c>
      <c r="H37" s="17" t="s">
        <v>25</v>
      </c>
      <c r="I37" s="18" t="s">
        <v>246</v>
      </c>
      <c r="J37" s="17" t="s">
        <v>65</v>
      </c>
      <c r="K37" s="17" t="s">
        <v>165</v>
      </c>
    </row>
    <row r="38" spans="1:11" ht="34.5" customHeight="1" x14ac:dyDescent="0.25">
      <c r="A38" s="17" t="s">
        <v>247</v>
      </c>
      <c r="B38" s="18" t="s">
        <v>36</v>
      </c>
      <c r="C38" s="18" t="s">
        <v>248</v>
      </c>
      <c r="D38" s="18" t="s">
        <v>249</v>
      </c>
      <c r="E38" s="18" t="s">
        <v>239</v>
      </c>
      <c r="F38" s="18" t="s">
        <v>250</v>
      </c>
      <c r="G38" s="17" t="s">
        <v>76</v>
      </c>
      <c r="H38" s="17" t="s">
        <v>25</v>
      </c>
      <c r="I38" s="18" t="s">
        <v>251</v>
      </c>
      <c r="J38" s="17" t="s">
        <v>65</v>
      </c>
      <c r="K38" s="17" t="s">
        <v>165</v>
      </c>
    </row>
    <row r="39" spans="1:11" ht="34.5" customHeight="1" x14ac:dyDescent="0.25">
      <c r="A39" s="17" t="s">
        <v>252</v>
      </c>
      <c r="B39" s="18" t="s">
        <v>36</v>
      </c>
      <c r="C39" s="18" t="s">
        <v>248</v>
      </c>
      <c r="D39" s="18" t="s">
        <v>253</v>
      </c>
      <c r="E39" s="18" t="s">
        <v>254</v>
      </c>
      <c r="F39" s="18" t="s">
        <v>255</v>
      </c>
      <c r="G39" s="17" t="s">
        <v>76</v>
      </c>
      <c r="H39" s="17" t="s">
        <v>25</v>
      </c>
      <c r="I39" s="18" t="s">
        <v>256</v>
      </c>
      <c r="J39" s="17" t="s">
        <v>65</v>
      </c>
      <c r="K39" s="17" t="s">
        <v>165</v>
      </c>
    </row>
    <row r="40" spans="1:11" ht="23.25" customHeight="1" x14ac:dyDescent="0.25">
      <c r="A40" s="17" t="s">
        <v>257</v>
      </c>
      <c r="B40" s="18" t="s">
        <v>36</v>
      </c>
      <c r="C40" s="18" t="s">
        <v>248</v>
      </c>
      <c r="D40" s="18" t="s">
        <v>258</v>
      </c>
      <c r="E40" s="18" t="s">
        <v>259</v>
      </c>
      <c r="F40" s="18" t="s">
        <v>260</v>
      </c>
      <c r="G40" s="17" t="s">
        <v>76</v>
      </c>
      <c r="H40" s="17" t="s">
        <v>25</v>
      </c>
      <c r="I40" s="18" t="s">
        <v>261</v>
      </c>
      <c r="J40" s="17" t="s">
        <v>65</v>
      </c>
      <c r="K40" s="17" t="s">
        <v>165</v>
      </c>
    </row>
    <row r="41" spans="1:11" ht="23.25" customHeight="1" x14ac:dyDescent="0.25">
      <c r="A41" s="17" t="s">
        <v>262</v>
      </c>
      <c r="B41" s="18" t="s">
        <v>37</v>
      </c>
      <c r="C41" s="18" t="s">
        <v>263</v>
      </c>
      <c r="D41" s="18" t="s">
        <v>264</v>
      </c>
      <c r="E41" s="18" t="s">
        <v>265</v>
      </c>
      <c r="F41" s="18" t="s">
        <v>266</v>
      </c>
      <c r="G41" s="17" t="s">
        <v>76</v>
      </c>
      <c r="H41" s="17" t="s">
        <v>25</v>
      </c>
      <c r="I41" s="18" t="s">
        <v>267</v>
      </c>
      <c r="J41" s="17" t="s">
        <v>65</v>
      </c>
      <c r="K41" s="17" t="s">
        <v>268</v>
      </c>
    </row>
    <row r="42" spans="1:11" ht="23.25" customHeight="1" x14ac:dyDescent="0.25">
      <c r="A42" s="17" t="s">
        <v>269</v>
      </c>
      <c r="B42" s="18" t="s">
        <v>37</v>
      </c>
      <c r="C42" s="18" t="s">
        <v>263</v>
      </c>
      <c r="D42" s="18" t="s">
        <v>270</v>
      </c>
      <c r="E42" s="18" t="s">
        <v>271</v>
      </c>
      <c r="F42" s="18" t="s">
        <v>272</v>
      </c>
      <c r="G42" s="19" t="s">
        <v>63</v>
      </c>
      <c r="H42" s="17" t="s">
        <v>25</v>
      </c>
      <c r="I42" s="18" t="s">
        <v>273</v>
      </c>
      <c r="J42" s="17" t="s">
        <v>65</v>
      </c>
      <c r="K42" s="17" t="s">
        <v>268</v>
      </c>
    </row>
    <row r="43" spans="1:11" ht="23.25" customHeight="1" x14ac:dyDescent="0.25">
      <c r="A43" s="17" t="s">
        <v>274</v>
      </c>
      <c r="B43" s="18" t="s">
        <v>37</v>
      </c>
      <c r="C43" s="18" t="s">
        <v>263</v>
      </c>
      <c r="D43" s="18" t="s">
        <v>275</v>
      </c>
      <c r="E43" s="18" t="s">
        <v>276</v>
      </c>
      <c r="F43" s="18" t="s">
        <v>277</v>
      </c>
      <c r="G43" s="19" t="s">
        <v>63</v>
      </c>
      <c r="H43" s="17" t="s">
        <v>25</v>
      </c>
      <c r="I43" s="18" t="s">
        <v>278</v>
      </c>
      <c r="J43" s="17" t="s">
        <v>65</v>
      </c>
      <c r="K43" s="17" t="s">
        <v>268</v>
      </c>
    </row>
    <row r="44" spans="1:11" ht="23.25" customHeight="1" x14ac:dyDescent="0.25">
      <c r="A44" s="17" t="s">
        <v>279</v>
      </c>
      <c r="B44" s="18" t="s">
        <v>37</v>
      </c>
      <c r="C44" s="18" t="s">
        <v>263</v>
      </c>
      <c r="D44" s="18" t="s">
        <v>280</v>
      </c>
      <c r="E44" s="18" t="s">
        <v>281</v>
      </c>
      <c r="F44" s="18" t="s">
        <v>282</v>
      </c>
      <c r="G44" s="17" t="s">
        <v>76</v>
      </c>
      <c r="H44" s="17" t="s">
        <v>25</v>
      </c>
      <c r="I44" s="18" t="s">
        <v>283</v>
      </c>
      <c r="J44" s="17" t="s">
        <v>65</v>
      </c>
      <c r="K44" s="17" t="s">
        <v>268</v>
      </c>
    </row>
    <row r="45" spans="1:11" ht="34.5" customHeight="1" x14ac:dyDescent="0.25">
      <c r="A45" s="17" t="s">
        <v>284</v>
      </c>
      <c r="B45" s="18" t="s">
        <v>37</v>
      </c>
      <c r="C45" s="18" t="s">
        <v>263</v>
      </c>
      <c r="D45" s="18" t="s">
        <v>285</v>
      </c>
      <c r="E45" s="18" t="s">
        <v>286</v>
      </c>
      <c r="F45" s="18" t="s">
        <v>287</v>
      </c>
      <c r="G45" s="17" t="s">
        <v>76</v>
      </c>
      <c r="H45" s="17" t="s">
        <v>25</v>
      </c>
      <c r="I45" s="18" t="s">
        <v>288</v>
      </c>
      <c r="J45" s="17" t="s">
        <v>65</v>
      </c>
      <c r="K45" s="17" t="s">
        <v>268</v>
      </c>
    </row>
    <row r="46" spans="1:11" ht="23.25" customHeight="1" x14ac:dyDescent="0.25">
      <c r="A46" s="17" t="s">
        <v>289</v>
      </c>
      <c r="B46" s="18" t="s">
        <v>37</v>
      </c>
      <c r="C46" s="18" t="s">
        <v>263</v>
      </c>
      <c r="D46" s="18" t="s">
        <v>290</v>
      </c>
      <c r="E46" s="18" t="s">
        <v>291</v>
      </c>
      <c r="F46" s="18" t="s">
        <v>292</v>
      </c>
      <c r="G46" s="17" t="s">
        <v>92</v>
      </c>
      <c r="H46" s="17" t="s">
        <v>25</v>
      </c>
      <c r="I46" s="18" t="s">
        <v>293</v>
      </c>
      <c r="J46" s="17" t="s">
        <v>65</v>
      </c>
      <c r="K46" s="17" t="s">
        <v>268</v>
      </c>
    </row>
    <row r="47" spans="1:11" ht="34.5" customHeight="1" x14ac:dyDescent="0.25">
      <c r="A47" s="17" t="s">
        <v>294</v>
      </c>
      <c r="B47" s="18" t="s">
        <v>38</v>
      </c>
      <c r="C47" s="18" t="s">
        <v>295</v>
      </c>
      <c r="D47" s="18" t="s">
        <v>296</v>
      </c>
      <c r="E47" s="18" t="s">
        <v>239</v>
      </c>
      <c r="F47" s="18" t="s">
        <v>297</v>
      </c>
      <c r="G47" s="17" t="s">
        <v>76</v>
      </c>
      <c r="H47" s="17" t="s">
        <v>25</v>
      </c>
      <c r="I47" s="18" t="s">
        <v>298</v>
      </c>
      <c r="J47" s="17" t="s">
        <v>65</v>
      </c>
      <c r="K47" s="17" t="s">
        <v>268</v>
      </c>
    </row>
    <row r="48" spans="1:11" ht="34.5" customHeight="1" x14ac:dyDescent="0.25">
      <c r="A48" s="17" t="s">
        <v>299</v>
      </c>
      <c r="B48" s="18" t="s">
        <v>38</v>
      </c>
      <c r="C48" s="18" t="s">
        <v>295</v>
      </c>
      <c r="D48" s="18" t="s">
        <v>300</v>
      </c>
      <c r="E48" s="18" t="s">
        <v>301</v>
      </c>
      <c r="F48" s="18" t="s">
        <v>302</v>
      </c>
      <c r="G48" s="19" t="s">
        <v>63</v>
      </c>
      <c r="H48" s="17" t="s">
        <v>26</v>
      </c>
      <c r="I48" s="18" t="s">
        <v>303</v>
      </c>
      <c r="J48" s="17" t="s">
        <v>65</v>
      </c>
      <c r="K48" s="17" t="s">
        <v>268</v>
      </c>
    </row>
    <row r="49" spans="1:11" ht="34.5" customHeight="1" x14ac:dyDescent="0.25">
      <c r="A49" s="17" t="s">
        <v>304</v>
      </c>
      <c r="B49" s="18" t="s">
        <v>39</v>
      </c>
      <c r="C49" s="18" t="s">
        <v>59</v>
      </c>
      <c r="D49" s="18" t="s">
        <v>305</v>
      </c>
      <c r="E49" s="18" t="s">
        <v>306</v>
      </c>
      <c r="F49" s="18" t="s">
        <v>307</v>
      </c>
      <c r="G49" s="17" t="s">
        <v>76</v>
      </c>
      <c r="H49" s="17" t="s">
        <v>25</v>
      </c>
      <c r="I49" s="18" t="s">
        <v>308</v>
      </c>
      <c r="J49" s="17" t="s">
        <v>65</v>
      </c>
      <c r="K49" s="17" t="s">
        <v>268</v>
      </c>
    </row>
    <row r="50" spans="1:11" ht="23.25" customHeight="1" x14ac:dyDescent="0.25">
      <c r="A50" s="17" t="s">
        <v>309</v>
      </c>
      <c r="B50" s="18" t="s">
        <v>39</v>
      </c>
      <c r="C50" s="18" t="s">
        <v>310</v>
      </c>
      <c r="D50" s="18" t="s">
        <v>311</v>
      </c>
      <c r="E50" s="18" t="s">
        <v>312</v>
      </c>
      <c r="F50" s="18" t="s">
        <v>313</v>
      </c>
      <c r="G50" s="17" t="s">
        <v>92</v>
      </c>
      <c r="H50" s="17" t="s">
        <v>25</v>
      </c>
      <c r="I50" s="18" t="s">
        <v>314</v>
      </c>
      <c r="J50" s="17" t="s">
        <v>65</v>
      </c>
      <c r="K50" s="17" t="s">
        <v>268</v>
      </c>
    </row>
    <row r="51" spans="1:11" ht="23.25" customHeight="1" x14ac:dyDescent="0.25">
      <c r="A51" s="17" t="s">
        <v>315</v>
      </c>
      <c r="B51" s="18" t="s">
        <v>39</v>
      </c>
      <c r="C51" s="18" t="s">
        <v>59</v>
      </c>
      <c r="D51" s="18" t="s">
        <v>316</v>
      </c>
      <c r="E51" s="18" t="s">
        <v>317</v>
      </c>
      <c r="F51" s="18" t="s">
        <v>318</v>
      </c>
      <c r="G51" s="17" t="s">
        <v>76</v>
      </c>
      <c r="H51" s="17" t="s">
        <v>25</v>
      </c>
      <c r="I51" s="18" t="s">
        <v>319</v>
      </c>
      <c r="J51" s="17" t="s">
        <v>65</v>
      </c>
      <c r="K51" s="17" t="s">
        <v>268</v>
      </c>
    </row>
    <row r="52" spans="1:11" ht="15" customHeight="1" x14ac:dyDescent="0.25">
      <c r="A52" s="17" t="s">
        <v>320</v>
      </c>
      <c r="B52" s="18" t="s">
        <v>39</v>
      </c>
      <c r="C52" s="18" t="s">
        <v>59</v>
      </c>
      <c r="D52" s="18" t="s">
        <v>321</v>
      </c>
      <c r="E52" s="18" t="s">
        <v>322</v>
      </c>
      <c r="F52" s="18" t="s">
        <v>323</v>
      </c>
      <c r="G52" s="17" t="s">
        <v>92</v>
      </c>
      <c r="H52" s="17" t="s">
        <v>25</v>
      </c>
      <c r="I52" s="18" t="s">
        <v>324</v>
      </c>
      <c r="J52" s="17" t="s">
        <v>65</v>
      </c>
      <c r="K52" s="17" t="s">
        <v>268</v>
      </c>
    </row>
    <row r="53" spans="1:11" ht="23.25" customHeight="1" x14ac:dyDescent="0.25">
      <c r="A53" s="17" t="s">
        <v>325</v>
      </c>
      <c r="B53" s="18" t="s">
        <v>40</v>
      </c>
      <c r="C53" s="18" t="s">
        <v>59</v>
      </c>
      <c r="D53" s="18" t="s">
        <v>326</v>
      </c>
      <c r="E53" s="18" t="s">
        <v>327</v>
      </c>
      <c r="F53" s="18" t="s">
        <v>328</v>
      </c>
      <c r="G53" s="19" t="s">
        <v>63</v>
      </c>
      <c r="H53" s="17" t="s">
        <v>25</v>
      </c>
      <c r="I53" s="18" t="s">
        <v>329</v>
      </c>
      <c r="J53" s="17" t="s">
        <v>65</v>
      </c>
      <c r="K53" s="17" t="s">
        <v>268</v>
      </c>
    </row>
    <row r="54" spans="1:11" ht="15" customHeight="1" x14ac:dyDescent="0.25">
      <c r="A54" s="17" t="s">
        <v>330</v>
      </c>
      <c r="B54" s="18" t="s">
        <v>40</v>
      </c>
      <c r="C54" s="18" t="s">
        <v>59</v>
      </c>
      <c r="D54" s="18" t="s">
        <v>331</v>
      </c>
      <c r="E54" s="18" t="s">
        <v>332</v>
      </c>
      <c r="F54" s="18" t="s">
        <v>333</v>
      </c>
      <c r="G54" s="17" t="s">
        <v>76</v>
      </c>
      <c r="H54" s="17" t="s">
        <v>25</v>
      </c>
      <c r="I54" s="18" t="s">
        <v>334</v>
      </c>
      <c r="J54" s="17" t="s">
        <v>65</v>
      </c>
      <c r="K54" s="17" t="s">
        <v>268</v>
      </c>
    </row>
    <row r="55" spans="1:11" ht="15" customHeight="1" x14ac:dyDescent="0.25">
      <c r="A55" s="17" t="s">
        <v>335</v>
      </c>
      <c r="B55" s="18" t="s">
        <v>40</v>
      </c>
      <c r="C55" s="18" t="s">
        <v>59</v>
      </c>
      <c r="D55" s="18" t="s">
        <v>336</v>
      </c>
      <c r="E55" s="18" t="s">
        <v>337</v>
      </c>
      <c r="F55" s="18" t="s">
        <v>333</v>
      </c>
      <c r="G55" s="17" t="s">
        <v>76</v>
      </c>
      <c r="H55" s="17" t="s">
        <v>25</v>
      </c>
      <c r="I55" s="18" t="s">
        <v>338</v>
      </c>
      <c r="J55" s="17" t="s">
        <v>65</v>
      </c>
      <c r="K55" s="17" t="s">
        <v>268</v>
      </c>
    </row>
    <row r="56" spans="1:11" ht="23.25" customHeight="1" x14ac:dyDescent="0.25">
      <c r="A56" s="17" t="s">
        <v>339</v>
      </c>
      <c r="B56" s="18" t="s">
        <v>40</v>
      </c>
      <c r="C56" s="18" t="s">
        <v>59</v>
      </c>
      <c r="D56" s="18" t="s">
        <v>340</v>
      </c>
      <c r="E56" s="18" t="s">
        <v>341</v>
      </c>
      <c r="F56" s="18" t="s">
        <v>342</v>
      </c>
      <c r="G56" s="17" t="s">
        <v>76</v>
      </c>
      <c r="H56" s="17" t="s">
        <v>25</v>
      </c>
      <c r="I56" s="18" t="s">
        <v>343</v>
      </c>
      <c r="J56" s="17" t="s">
        <v>65</v>
      </c>
      <c r="K56" s="17" t="s">
        <v>268</v>
      </c>
    </row>
    <row r="57" spans="1:11" ht="23.25" customHeight="1" x14ac:dyDescent="0.25">
      <c r="A57" s="17" t="s">
        <v>344</v>
      </c>
      <c r="B57" s="18" t="s">
        <v>41</v>
      </c>
      <c r="C57" s="18" t="s">
        <v>59</v>
      </c>
      <c r="D57" s="18" t="s">
        <v>345</v>
      </c>
      <c r="E57" s="18" t="s">
        <v>346</v>
      </c>
      <c r="F57" s="18" t="s">
        <v>347</v>
      </c>
      <c r="G57" s="17" t="s">
        <v>76</v>
      </c>
      <c r="H57" s="17" t="s">
        <v>25</v>
      </c>
      <c r="I57" s="18" t="s">
        <v>348</v>
      </c>
      <c r="J57" s="17" t="s">
        <v>65</v>
      </c>
      <c r="K57" s="17" t="s">
        <v>268</v>
      </c>
    </row>
    <row r="58" spans="1:11" ht="23.25" customHeight="1" x14ac:dyDescent="0.25">
      <c r="A58" s="17" t="s">
        <v>349</v>
      </c>
      <c r="B58" s="18" t="s">
        <v>41</v>
      </c>
      <c r="C58" s="18" t="s">
        <v>59</v>
      </c>
      <c r="D58" s="18" t="s">
        <v>350</v>
      </c>
      <c r="E58" s="18" t="s">
        <v>351</v>
      </c>
      <c r="F58" s="18" t="s">
        <v>352</v>
      </c>
      <c r="G58" s="17" t="s">
        <v>76</v>
      </c>
      <c r="H58" s="17" t="s">
        <v>25</v>
      </c>
      <c r="I58" s="18" t="s">
        <v>353</v>
      </c>
      <c r="J58" s="17" t="s">
        <v>65</v>
      </c>
      <c r="K58" s="17" t="s">
        <v>268</v>
      </c>
    </row>
    <row r="59" spans="1:11" ht="23.25" customHeight="1" x14ac:dyDescent="0.25">
      <c r="A59" s="17" t="s">
        <v>354</v>
      </c>
      <c r="B59" s="18" t="s">
        <v>41</v>
      </c>
      <c r="C59" s="18" t="s">
        <v>59</v>
      </c>
      <c r="D59" s="18" t="s">
        <v>355</v>
      </c>
      <c r="E59" s="18" t="s">
        <v>356</v>
      </c>
      <c r="F59" s="18" t="s">
        <v>357</v>
      </c>
      <c r="G59" s="17" t="s">
        <v>92</v>
      </c>
      <c r="H59" s="17" t="s">
        <v>25</v>
      </c>
      <c r="I59" s="18" t="s">
        <v>358</v>
      </c>
      <c r="J59" s="17" t="s">
        <v>65</v>
      </c>
      <c r="K59" s="17" t="s">
        <v>268</v>
      </c>
    </row>
    <row r="60" spans="1:11" ht="34.5" customHeight="1" x14ac:dyDescent="0.25">
      <c r="A60" s="17" t="s">
        <v>359</v>
      </c>
      <c r="B60" s="18" t="s">
        <v>41</v>
      </c>
      <c r="C60" s="18" t="s">
        <v>59</v>
      </c>
      <c r="D60" s="18" t="s">
        <v>360</v>
      </c>
      <c r="E60" s="18" t="s">
        <v>361</v>
      </c>
      <c r="F60" s="18" t="s">
        <v>362</v>
      </c>
      <c r="G60" s="17" t="s">
        <v>76</v>
      </c>
      <c r="H60" s="17" t="s">
        <v>25</v>
      </c>
      <c r="I60" s="18" t="s">
        <v>363</v>
      </c>
      <c r="J60" s="17" t="s">
        <v>65</v>
      </c>
      <c r="K60" s="17" t="s">
        <v>268</v>
      </c>
    </row>
  </sheetData>
  <dataValidations count="1">
    <dataValidation type="list" allowBlank="1" sqref="H2:H60" xr:uid="{00000000-0002-0000-0100-000000000000}">
      <formula1>"OK,KO,NT"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zoomScaleNormal="100" workbookViewId="0"/>
  </sheetViews>
  <sheetFormatPr baseColWidth="10" defaultColWidth="8.7109375" defaultRowHeight="15" x14ac:dyDescent="0.25"/>
  <cols>
    <col min="1" max="1" width="30" customWidth="1"/>
    <col min="2" max="2" width="14" customWidth="1"/>
    <col min="3" max="5" width="12" customWidth="1"/>
    <col min="6" max="6" width="14" customWidth="1"/>
  </cols>
  <sheetData>
    <row r="1" spans="1:6" ht="19.5" customHeight="1" x14ac:dyDescent="0.3">
      <c r="A1" s="4" t="s">
        <v>0</v>
      </c>
    </row>
    <row r="2" spans="1:6" ht="15" customHeight="1" x14ac:dyDescent="0.25">
      <c r="A2" s="5" t="s">
        <v>364</v>
      </c>
    </row>
    <row r="4" spans="1:6" ht="15" customHeight="1" x14ac:dyDescent="0.25">
      <c r="A4" s="6" t="s">
        <v>2</v>
      </c>
      <c r="B4" s="3" t="s">
        <v>3</v>
      </c>
      <c r="C4" s="3"/>
      <c r="D4" s="3"/>
      <c r="E4" s="3"/>
      <c r="F4" s="3"/>
    </row>
    <row r="5" spans="1:6" ht="15" customHeight="1" x14ac:dyDescent="0.25">
      <c r="A5" s="6" t="s">
        <v>4</v>
      </c>
      <c r="B5" s="3" t="s">
        <v>5</v>
      </c>
      <c r="C5" s="3"/>
      <c r="D5" s="3"/>
      <c r="E5" s="3"/>
      <c r="F5" s="3"/>
    </row>
    <row r="6" spans="1:6" ht="15" customHeight="1" x14ac:dyDescent="0.25">
      <c r="A6" s="6" t="s">
        <v>6</v>
      </c>
      <c r="B6" s="3" t="s">
        <v>7</v>
      </c>
      <c r="C6" s="3"/>
      <c r="D6" s="3"/>
      <c r="E6" s="3"/>
      <c r="F6" s="3"/>
    </row>
    <row r="7" spans="1:6" ht="15" customHeight="1" x14ac:dyDescent="0.25">
      <c r="A7" s="6" t="s">
        <v>8</v>
      </c>
      <c r="B7" s="3" t="s">
        <v>7</v>
      </c>
      <c r="C7" s="3"/>
      <c r="D7" s="3"/>
      <c r="E7" s="3"/>
      <c r="F7" s="3"/>
    </row>
    <row r="8" spans="1:6" ht="15" customHeight="1" x14ac:dyDescent="0.25">
      <c r="A8" s="6" t="s">
        <v>9</v>
      </c>
      <c r="B8" s="3" t="s">
        <v>365</v>
      </c>
      <c r="C8" s="3"/>
      <c r="D8" s="3"/>
      <c r="E8" s="3"/>
      <c r="F8" s="3"/>
    </row>
    <row r="10" spans="1:6" ht="15" customHeight="1" x14ac:dyDescent="0.25">
      <c r="A10" s="7" t="s">
        <v>11</v>
      </c>
    </row>
    <row r="11" spans="1:6" ht="15" customHeight="1" x14ac:dyDescent="0.25">
      <c r="A11" s="8" t="s">
        <v>12</v>
      </c>
      <c r="B11" s="9">
        <f>COUNTA('Cas — 2e passage'!A2:A60)</f>
        <v>59</v>
      </c>
    </row>
    <row r="12" spans="1:6" ht="15" customHeight="1" x14ac:dyDescent="0.25">
      <c r="A12" s="8" t="s">
        <v>13</v>
      </c>
      <c r="B12" s="9">
        <f>B13+B14</f>
        <v>59</v>
      </c>
    </row>
    <row r="13" spans="1:6" ht="15" customHeight="1" x14ac:dyDescent="0.25">
      <c r="A13" s="8" t="s">
        <v>14</v>
      </c>
      <c r="B13" s="9">
        <f>COUNTIF('Cas — 2e passage'!H2:H60,"OK")</f>
        <v>59</v>
      </c>
    </row>
    <row r="14" spans="1:6" ht="15" customHeight="1" x14ac:dyDescent="0.25">
      <c r="A14" s="8" t="s">
        <v>15</v>
      </c>
      <c r="B14" s="9">
        <f>COUNTIF('Cas — 2e passage'!H2:H60,"KO")</f>
        <v>0</v>
      </c>
    </row>
    <row r="15" spans="1:6" ht="15" customHeight="1" x14ac:dyDescent="0.25">
      <c r="A15" s="8" t="s">
        <v>16</v>
      </c>
      <c r="B15" s="9">
        <f>COUNTIF('Cas — 2e passage'!H2:H60,"NT")</f>
        <v>0</v>
      </c>
    </row>
    <row r="16" spans="1:6" ht="15" customHeight="1" x14ac:dyDescent="0.25">
      <c r="A16" s="8" t="s">
        <v>17</v>
      </c>
      <c r="B16" s="10">
        <f>IF(B11=0,0,B12/B11)</f>
        <v>1</v>
      </c>
    </row>
    <row r="17" spans="1:6" ht="15" customHeight="1" x14ac:dyDescent="0.25">
      <c r="A17" s="8" t="s">
        <v>18</v>
      </c>
      <c r="B17" s="10">
        <f>IF(B12=0,0,B13/B12)</f>
        <v>1</v>
      </c>
    </row>
    <row r="18" spans="1:6" ht="15" customHeight="1" x14ac:dyDescent="0.25">
      <c r="A18" s="8" t="s">
        <v>19</v>
      </c>
      <c r="B18" s="11">
        <f>COUNTIFS('Cas — 2e passage'!G2:G60,"Bloquante",'Cas — 2e passage'!H2:H60,"KO")</f>
        <v>0</v>
      </c>
    </row>
    <row r="20" spans="1:6" ht="15" customHeight="1" x14ac:dyDescent="0.25">
      <c r="A20" s="6" t="s">
        <v>20</v>
      </c>
      <c r="B20" s="2" t="str">
        <f>IF(B11=0,"—",IF(B18&gt;0,"Recette refusée (KO bloquant)",IF(B16&lt;1,"Recette en cours",IF(B14&gt;0,"Recette avec réserves","Recette prononcée"))))</f>
        <v>Recette prononcée</v>
      </c>
      <c r="C20" s="2"/>
      <c r="D20" s="2"/>
      <c r="E20" s="2"/>
    </row>
    <row r="21" spans="1:6" ht="15" customHeight="1" x14ac:dyDescent="0.25">
      <c r="A21" s="12" t="s">
        <v>21</v>
      </c>
    </row>
    <row r="23" spans="1:6" ht="15" customHeight="1" x14ac:dyDescent="0.25">
      <c r="A23" s="7" t="s">
        <v>22</v>
      </c>
    </row>
    <row r="24" spans="1:6" ht="15" customHeight="1" x14ac:dyDescent="0.25">
      <c r="A24" s="13" t="s">
        <v>23</v>
      </c>
      <c r="B24" s="13" t="s">
        <v>24</v>
      </c>
      <c r="C24" s="13" t="s">
        <v>25</v>
      </c>
      <c r="D24" s="13" t="s">
        <v>26</v>
      </c>
      <c r="E24" s="13" t="s">
        <v>27</v>
      </c>
      <c r="F24" s="13" t="s">
        <v>28</v>
      </c>
    </row>
    <row r="25" spans="1:6" ht="15" customHeight="1" x14ac:dyDescent="0.25">
      <c r="A25" s="8" t="s">
        <v>29</v>
      </c>
      <c r="B25" s="14">
        <f>COUNTIF('Cas — 2e passage'!B2:B60,A25)</f>
        <v>6</v>
      </c>
      <c r="C25" s="14">
        <f>COUNTIFS('Cas — 2e passage'!B2:B60,A25,'Cas — 2e passage'!H2:H60,"OK")</f>
        <v>6</v>
      </c>
      <c r="D25" s="14">
        <f>COUNTIFS('Cas — 2e passage'!B2:B60,A25,'Cas — 2e passage'!H2:H60,"KO")</f>
        <v>0</v>
      </c>
      <c r="E25" s="14">
        <f>COUNTIFS('Cas — 2e passage'!B2:B60,A25,'Cas — 2e passage'!H2:H60,"NT")</f>
        <v>0</v>
      </c>
      <c r="F25" s="15">
        <f t="shared" ref="F25:F37" si="0">IF(C25+D25=0,0,C25/(C25+D25))</f>
        <v>1</v>
      </c>
    </row>
    <row r="26" spans="1:6" ht="15" customHeight="1" x14ac:dyDescent="0.25">
      <c r="A26" s="8" t="s">
        <v>30</v>
      </c>
      <c r="B26" s="14">
        <f>COUNTIF('Cas — 2e passage'!B2:B60,A26)</f>
        <v>5</v>
      </c>
      <c r="C26" s="14">
        <f>COUNTIFS('Cas — 2e passage'!B2:B60,A26,'Cas — 2e passage'!H2:H60,"OK")</f>
        <v>5</v>
      </c>
      <c r="D26" s="14">
        <f>COUNTIFS('Cas — 2e passage'!B2:B60,A26,'Cas — 2e passage'!H2:H60,"KO")</f>
        <v>0</v>
      </c>
      <c r="E26" s="14">
        <f>COUNTIFS('Cas — 2e passage'!B2:B60,A26,'Cas — 2e passage'!H2:H60,"NT")</f>
        <v>0</v>
      </c>
      <c r="F26" s="15">
        <f t="shared" si="0"/>
        <v>1</v>
      </c>
    </row>
    <row r="27" spans="1:6" ht="15" customHeight="1" x14ac:dyDescent="0.25">
      <c r="A27" s="8" t="s">
        <v>31</v>
      </c>
      <c r="B27" s="14">
        <f>COUNTIF('Cas — 2e passage'!B2:B60,A27)</f>
        <v>8</v>
      </c>
      <c r="C27" s="14">
        <f>COUNTIFS('Cas — 2e passage'!B2:B60,A27,'Cas — 2e passage'!H2:H60,"OK")</f>
        <v>8</v>
      </c>
      <c r="D27" s="14">
        <f>COUNTIFS('Cas — 2e passage'!B2:B60,A27,'Cas — 2e passage'!H2:H60,"KO")</f>
        <v>0</v>
      </c>
      <c r="E27" s="14">
        <f>COUNTIFS('Cas — 2e passage'!B2:B60,A27,'Cas — 2e passage'!H2:H60,"NT")</f>
        <v>0</v>
      </c>
      <c r="F27" s="15">
        <f t="shared" si="0"/>
        <v>1</v>
      </c>
    </row>
    <row r="28" spans="1:6" ht="15" customHeight="1" x14ac:dyDescent="0.25">
      <c r="A28" s="8" t="s">
        <v>32</v>
      </c>
      <c r="B28" s="14">
        <f>COUNTIF('Cas — 2e passage'!B2:B60,A28)</f>
        <v>4</v>
      </c>
      <c r="C28" s="14">
        <f>COUNTIFS('Cas — 2e passage'!B2:B60,A28,'Cas — 2e passage'!H2:H60,"OK")</f>
        <v>4</v>
      </c>
      <c r="D28" s="14">
        <f>COUNTIFS('Cas — 2e passage'!B2:B60,A28,'Cas — 2e passage'!H2:H60,"KO")</f>
        <v>0</v>
      </c>
      <c r="E28" s="14">
        <f>COUNTIFS('Cas — 2e passage'!B2:B60,A28,'Cas — 2e passage'!H2:H60,"NT")</f>
        <v>0</v>
      </c>
      <c r="F28" s="15">
        <f t="shared" si="0"/>
        <v>1</v>
      </c>
    </row>
    <row r="29" spans="1:6" ht="15" customHeight="1" x14ac:dyDescent="0.25">
      <c r="A29" s="8" t="s">
        <v>33</v>
      </c>
      <c r="B29" s="14">
        <f>COUNTIF('Cas — 2e passage'!B2:B60,A29)</f>
        <v>9</v>
      </c>
      <c r="C29" s="14">
        <f>COUNTIFS('Cas — 2e passage'!B2:B60,A29,'Cas — 2e passage'!H2:H60,"OK")</f>
        <v>9</v>
      </c>
      <c r="D29" s="14">
        <f>COUNTIFS('Cas — 2e passage'!B2:B60,A29,'Cas — 2e passage'!H2:H60,"KO")</f>
        <v>0</v>
      </c>
      <c r="E29" s="14">
        <f>COUNTIFS('Cas — 2e passage'!B2:B60,A29,'Cas — 2e passage'!H2:H60,"NT")</f>
        <v>0</v>
      </c>
      <c r="F29" s="15">
        <f t="shared" si="0"/>
        <v>1</v>
      </c>
    </row>
    <row r="30" spans="1:6" ht="15" customHeight="1" x14ac:dyDescent="0.25">
      <c r="A30" s="8" t="s">
        <v>34</v>
      </c>
      <c r="B30" s="14">
        <f>COUNTIF('Cas — 2e passage'!B2:B60,A30)</f>
        <v>2</v>
      </c>
      <c r="C30" s="14">
        <f>COUNTIFS('Cas — 2e passage'!B2:B60,A30,'Cas — 2e passage'!H2:H60,"OK")</f>
        <v>2</v>
      </c>
      <c r="D30" s="14">
        <f>COUNTIFS('Cas — 2e passage'!B2:B60,A30,'Cas — 2e passage'!H2:H60,"KO")</f>
        <v>0</v>
      </c>
      <c r="E30" s="14">
        <f>COUNTIFS('Cas — 2e passage'!B2:B60,A30,'Cas — 2e passage'!H2:H60,"NT")</f>
        <v>0</v>
      </c>
      <c r="F30" s="15">
        <f t="shared" si="0"/>
        <v>1</v>
      </c>
    </row>
    <row r="31" spans="1:6" ht="15" customHeight="1" x14ac:dyDescent="0.25">
      <c r="A31" s="8" t="s">
        <v>35</v>
      </c>
      <c r="B31" s="14">
        <f>COUNTIF('Cas — 2e passage'!B2:B60,A31)</f>
        <v>2</v>
      </c>
      <c r="C31" s="14">
        <f>COUNTIFS('Cas — 2e passage'!B2:B60,A31,'Cas — 2e passage'!H2:H60,"OK")</f>
        <v>2</v>
      </c>
      <c r="D31" s="14">
        <f>COUNTIFS('Cas — 2e passage'!B2:B60,A31,'Cas — 2e passage'!H2:H60,"KO")</f>
        <v>0</v>
      </c>
      <c r="E31" s="14">
        <f>COUNTIFS('Cas — 2e passage'!B2:B60,A31,'Cas — 2e passage'!H2:H60,"NT")</f>
        <v>0</v>
      </c>
      <c r="F31" s="15">
        <f t="shared" si="0"/>
        <v>1</v>
      </c>
    </row>
    <row r="32" spans="1:6" ht="15" customHeight="1" x14ac:dyDescent="0.25">
      <c r="A32" s="8" t="s">
        <v>36</v>
      </c>
      <c r="B32" s="14">
        <f>COUNTIF('Cas — 2e passage'!B2:B60,A32)</f>
        <v>3</v>
      </c>
      <c r="C32" s="14">
        <f>COUNTIFS('Cas — 2e passage'!B2:B60,A32,'Cas — 2e passage'!H2:H60,"OK")</f>
        <v>3</v>
      </c>
      <c r="D32" s="14">
        <f>COUNTIFS('Cas — 2e passage'!B2:B60,A32,'Cas — 2e passage'!H2:H60,"KO")</f>
        <v>0</v>
      </c>
      <c r="E32" s="14">
        <f>COUNTIFS('Cas — 2e passage'!B2:B60,A32,'Cas — 2e passage'!H2:H60,"NT")</f>
        <v>0</v>
      </c>
      <c r="F32" s="15">
        <f t="shared" si="0"/>
        <v>1</v>
      </c>
    </row>
    <row r="33" spans="1:6" ht="15" customHeight="1" x14ac:dyDescent="0.25">
      <c r="A33" s="8" t="s">
        <v>37</v>
      </c>
      <c r="B33" s="14">
        <f>COUNTIF('Cas — 2e passage'!B2:B60,A33)</f>
        <v>6</v>
      </c>
      <c r="C33" s="14">
        <f>COUNTIFS('Cas — 2e passage'!B2:B60,A33,'Cas — 2e passage'!H2:H60,"OK")</f>
        <v>6</v>
      </c>
      <c r="D33" s="14">
        <f>COUNTIFS('Cas — 2e passage'!B2:B60,A33,'Cas — 2e passage'!H2:H60,"KO")</f>
        <v>0</v>
      </c>
      <c r="E33" s="14">
        <f>COUNTIFS('Cas — 2e passage'!B2:B60,A33,'Cas — 2e passage'!H2:H60,"NT")</f>
        <v>0</v>
      </c>
      <c r="F33" s="15">
        <f t="shared" si="0"/>
        <v>1</v>
      </c>
    </row>
    <row r="34" spans="1:6" ht="15" customHeight="1" x14ac:dyDescent="0.25">
      <c r="A34" s="8" t="s">
        <v>38</v>
      </c>
      <c r="B34" s="14">
        <f>COUNTIF('Cas — 2e passage'!B2:B60,A34)</f>
        <v>2</v>
      </c>
      <c r="C34" s="14">
        <f>COUNTIFS('Cas — 2e passage'!B2:B60,A34,'Cas — 2e passage'!H2:H60,"OK")</f>
        <v>2</v>
      </c>
      <c r="D34" s="14">
        <f>COUNTIFS('Cas — 2e passage'!B2:B60,A34,'Cas — 2e passage'!H2:H60,"KO")</f>
        <v>0</v>
      </c>
      <c r="E34" s="14">
        <f>COUNTIFS('Cas — 2e passage'!B2:B60,A34,'Cas — 2e passage'!H2:H60,"NT")</f>
        <v>0</v>
      </c>
      <c r="F34" s="15">
        <f t="shared" si="0"/>
        <v>1</v>
      </c>
    </row>
    <row r="35" spans="1:6" ht="15" customHeight="1" x14ac:dyDescent="0.25">
      <c r="A35" s="8" t="s">
        <v>39</v>
      </c>
      <c r="B35" s="14">
        <f>COUNTIF('Cas — 2e passage'!B2:B60,A35)</f>
        <v>4</v>
      </c>
      <c r="C35" s="14">
        <f>COUNTIFS('Cas — 2e passage'!B2:B60,A35,'Cas — 2e passage'!H2:H60,"OK")</f>
        <v>4</v>
      </c>
      <c r="D35" s="14">
        <f>COUNTIFS('Cas — 2e passage'!B2:B60,A35,'Cas — 2e passage'!H2:H60,"KO")</f>
        <v>0</v>
      </c>
      <c r="E35" s="14">
        <f>COUNTIFS('Cas — 2e passage'!B2:B60,A35,'Cas — 2e passage'!H2:H60,"NT")</f>
        <v>0</v>
      </c>
      <c r="F35" s="15">
        <f t="shared" si="0"/>
        <v>1</v>
      </c>
    </row>
    <row r="36" spans="1:6" ht="15" customHeight="1" x14ac:dyDescent="0.25">
      <c r="A36" s="8" t="s">
        <v>40</v>
      </c>
      <c r="B36" s="14">
        <f>COUNTIF('Cas — 2e passage'!B2:B60,A36)</f>
        <v>4</v>
      </c>
      <c r="C36" s="14">
        <f>COUNTIFS('Cas — 2e passage'!B2:B60,A36,'Cas — 2e passage'!H2:H60,"OK")</f>
        <v>4</v>
      </c>
      <c r="D36" s="14">
        <f>COUNTIFS('Cas — 2e passage'!B2:B60,A36,'Cas — 2e passage'!H2:H60,"KO")</f>
        <v>0</v>
      </c>
      <c r="E36" s="14">
        <f>COUNTIFS('Cas — 2e passage'!B2:B60,A36,'Cas — 2e passage'!H2:H60,"NT")</f>
        <v>0</v>
      </c>
      <c r="F36" s="15">
        <f t="shared" si="0"/>
        <v>1</v>
      </c>
    </row>
    <row r="37" spans="1:6" ht="15" customHeight="1" x14ac:dyDescent="0.25">
      <c r="A37" s="8" t="s">
        <v>41</v>
      </c>
      <c r="B37" s="14">
        <f>COUNTIF('Cas — 2e passage'!B2:B60,A37)</f>
        <v>4</v>
      </c>
      <c r="C37" s="14">
        <f>COUNTIFS('Cas — 2e passage'!B2:B60,A37,'Cas — 2e passage'!H2:H60,"OK")</f>
        <v>4</v>
      </c>
      <c r="D37" s="14">
        <f>COUNTIFS('Cas — 2e passage'!B2:B60,A37,'Cas — 2e passage'!H2:H60,"KO")</f>
        <v>0</v>
      </c>
      <c r="E37" s="14">
        <f>COUNTIFS('Cas — 2e passage'!B2:B60,A37,'Cas — 2e passage'!H2:H60,"NT")</f>
        <v>0</v>
      </c>
      <c r="F37" s="15">
        <f t="shared" si="0"/>
        <v>1</v>
      </c>
    </row>
    <row r="39" spans="1:6" ht="15" customHeight="1" x14ac:dyDescent="0.25">
      <c r="A39" s="7" t="s">
        <v>42</v>
      </c>
    </row>
    <row r="40" spans="1:6" ht="24" customHeight="1" x14ac:dyDescent="0.25">
      <c r="A40" s="1" t="s">
        <v>43</v>
      </c>
      <c r="B40" s="1"/>
      <c r="C40" s="1"/>
      <c r="D40" s="1"/>
      <c r="E40" s="1"/>
      <c r="F40" s="1"/>
    </row>
    <row r="41" spans="1:6" ht="24" customHeight="1" x14ac:dyDescent="0.25">
      <c r="A41" s="1" t="s">
        <v>44</v>
      </c>
      <c r="B41" s="1"/>
      <c r="C41" s="1"/>
      <c r="D41" s="1"/>
      <c r="E41" s="1"/>
      <c r="F41" s="1"/>
    </row>
    <row r="42" spans="1:6" ht="24" customHeight="1" x14ac:dyDescent="0.25">
      <c r="A42" s="1" t="s">
        <v>45</v>
      </c>
      <c r="B42" s="1"/>
      <c r="C42" s="1"/>
      <c r="D42" s="1"/>
      <c r="E42" s="1"/>
      <c r="F42" s="1"/>
    </row>
    <row r="43" spans="1:6" ht="24" customHeight="1" x14ac:dyDescent="0.25">
      <c r="A43" s="1" t="s">
        <v>46</v>
      </c>
      <c r="B43" s="1"/>
      <c r="C43" s="1"/>
      <c r="D43" s="1"/>
      <c r="E43" s="1"/>
      <c r="F43" s="1"/>
    </row>
    <row r="44" spans="1:6" ht="24" customHeight="1" x14ac:dyDescent="0.25">
      <c r="A44" s="1" t="s">
        <v>47</v>
      </c>
      <c r="B44" s="1"/>
      <c r="C44" s="1"/>
      <c r="D44" s="1"/>
      <c r="E44" s="1"/>
      <c r="F44" s="1"/>
    </row>
  </sheetData>
  <mergeCells count="11">
    <mergeCell ref="A44:F44"/>
    <mergeCell ref="B20:E20"/>
    <mergeCell ref="A40:F40"/>
    <mergeCell ref="A41:F41"/>
    <mergeCell ref="A42:F42"/>
    <mergeCell ref="A43:F43"/>
    <mergeCell ref="B4:F4"/>
    <mergeCell ref="B5:F5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9" customWidth="1"/>
    <col min="2" max="2" width="15" customWidth="1"/>
    <col min="3" max="3" width="16" customWidth="1"/>
    <col min="4" max="4" width="30" customWidth="1"/>
    <col min="5" max="5" width="46" customWidth="1"/>
    <col min="6" max="6" width="44" customWidth="1"/>
    <col min="7" max="7" width="10" customWidth="1"/>
    <col min="8" max="8" width="8" customWidth="1"/>
    <col min="9" max="9" width="30" customWidth="1"/>
    <col min="10" max="10" width="10" customWidth="1"/>
    <col min="11" max="11" width="11" customWidth="1"/>
  </cols>
  <sheetData>
    <row r="1" spans="1:11" ht="25.5" customHeight="1" x14ac:dyDescent="0.25">
      <c r="A1" s="16" t="s">
        <v>48</v>
      </c>
      <c r="B1" s="16" t="s">
        <v>23</v>
      </c>
      <c r="C1" s="16" t="s">
        <v>49</v>
      </c>
      <c r="D1" s="16" t="s">
        <v>50</v>
      </c>
      <c r="E1" s="16" t="s">
        <v>51</v>
      </c>
      <c r="F1" s="16" t="s">
        <v>52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</row>
    <row r="2" spans="1:11" ht="34.5" customHeight="1" x14ac:dyDescent="0.25">
      <c r="A2" s="17" t="s">
        <v>58</v>
      </c>
      <c r="B2" s="18" t="s">
        <v>29</v>
      </c>
      <c r="C2" s="18" t="s">
        <v>59</v>
      </c>
      <c r="D2" s="18" t="s">
        <v>60</v>
      </c>
      <c r="E2" s="18" t="s">
        <v>61</v>
      </c>
      <c r="F2" s="18" t="s">
        <v>62</v>
      </c>
      <c r="G2" s="19" t="s">
        <v>63</v>
      </c>
      <c r="H2" s="17" t="s">
        <v>25</v>
      </c>
      <c r="I2" s="18" t="s">
        <v>64</v>
      </c>
      <c r="J2" s="17" t="s">
        <v>65</v>
      </c>
      <c r="K2" s="17" t="s">
        <v>66</v>
      </c>
    </row>
    <row r="3" spans="1:11" ht="41.25" customHeight="1" x14ac:dyDescent="0.25">
      <c r="A3" s="17" t="s">
        <v>67</v>
      </c>
      <c r="B3" s="18" t="s">
        <v>29</v>
      </c>
      <c r="C3" s="18" t="s">
        <v>59</v>
      </c>
      <c r="D3" s="18" t="s">
        <v>68</v>
      </c>
      <c r="E3" s="18" t="s">
        <v>69</v>
      </c>
      <c r="F3" s="18" t="s">
        <v>70</v>
      </c>
      <c r="G3" s="19" t="s">
        <v>63</v>
      </c>
      <c r="H3" s="17" t="s">
        <v>25</v>
      </c>
      <c r="I3" s="18" t="s">
        <v>71</v>
      </c>
      <c r="J3" s="17" t="s">
        <v>65</v>
      </c>
      <c r="K3" s="17" t="s">
        <v>66</v>
      </c>
    </row>
    <row r="4" spans="1:11" ht="42" customHeight="1" x14ac:dyDescent="0.25">
      <c r="A4" s="17" t="s">
        <v>72</v>
      </c>
      <c r="B4" s="18" t="s">
        <v>29</v>
      </c>
      <c r="C4" s="18" t="s">
        <v>59</v>
      </c>
      <c r="D4" s="18" t="s">
        <v>73</v>
      </c>
      <c r="E4" s="18" t="s">
        <v>74</v>
      </c>
      <c r="F4" s="18" t="s">
        <v>75</v>
      </c>
      <c r="G4" s="17" t="s">
        <v>76</v>
      </c>
      <c r="H4" s="17" t="s">
        <v>25</v>
      </c>
      <c r="I4" s="18" t="s">
        <v>77</v>
      </c>
      <c r="J4" s="17" t="s">
        <v>65</v>
      </c>
      <c r="K4" s="17" t="s">
        <v>66</v>
      </c>
    </row>
    <row r="5" spans="1:11" ht="23.25" customHeight="1" x14ac:dyDescent="0.25">
      <c r="A5" s="17" t="s">
        <v>78</v>
      </c>
      <c r="B5" s="18" t="s">
        <v>29</v>
      </c>
      <c r="C5" s="18" t="s">
        <v>59</v>
      </c>
      <c r="D5" s="18" t="s">
        <v>79</v>
      </c>
      <c r="E5" s="18" t="s">
        <v>80</v>
      </c>
      <c r="F5" s="18" t="s">
        <v>81</v>
      </c>
      <c r="G5" s="17" t="s">
        <v>76</v>
      </c>
      <c r="H5" s="17" t="s">
        <v>25</v>
      </c>
      <c r="I5" s="18" t="s">
        <v>82</v>
      </c>
      <c r="J5" s="17" t="s">
        <v>65</v>
      </c>
      <c r="K5" s="17" t="s">
        <v>66</v>
      </c>
    </row>
    <row r="6" spans="1:11" ht="23.25" customHeight="1" x14ac:dyDescent="0.25">
      <c r="A6" s="17" t="s">
        <v>83</v>
      </c>
      <c r="B6" s="18" t="s">
        <v>29</v>
      </c>
      <c r="C6" s="18" t="s">
        <v>59</v>
      </c>
      <c r="D6" s="18" t="s">
        <v>84</v>
      </c>
      <c r="E6" s="18" t="s">
        <v>85</v>
      </c>
      <c r="F6" s="18" t="s">
        <v>86</v>
      </c>
      <c r="G6" s="17" t="s">
        <v>76</v>
      </c>
      <c r="H6" s="17" t="s">
        <v>25</v>
      </c>
      <c r="I6" s="18" t="s">
        <v>87</v>
      </c>
      <c r="J6" s="17" t="s">
        <v>65</v>
      </c>
      <c r="K6" s="17" t="s">
        <v>66</v>
      </c>
    </row>
    <row r="7" spans="1:11" ht="23.25" customHeight="1" x14ac:dyDescent="0.25">
      <c r="A7" s="17" t="s">
        <v>88</v>
      </c>
      <c r="B7" s="18" t="s">
        <v>29</v>
      </c>
      <c r="C7" s="18" t="s">
        <v>59</v>
      </c>
      <c r="D7" s="18" t="s">
        <v>89</v>
      </c>
      <c r="E7" s="18" t="s">
        <v>90</v>
      </c>
      <c r="F7" s="18" t="s">
        <v>91</v>
      </c>
      <c r="G7" s="17" t="s">
        <v>92</v>
      </c>
      <c r="H7" s="17" t="s">
        <v>25</v>
      </c>
      <c r="I7" s="18" t="s">
        <v>93</v>
      </c>
      <c r="J7" s="17" t="s">
        <v>65</v>
      </c>
      <c r="K7" s="17" t="s">
        <v>66</v>
      </c>
    </row>
    <row r="8" spans="1:11" ht="23.25" customHeight="1" x14ac:dyDescent="0.25">
      <c r="A8" s="17" t="s">
        <v>94</v>
      </c>
      <c r="B8" s="18" t="s">
        <v>30</v>
      </c>
      <c r="C8" s="18" t="s">
        <v>59</v>
      </c>
      <c r="D8" s="18" t="s">
        <v>95</v>
      </c>
      <c r="E8" s="18" t="s">
        <v>96</v>
      </c>
      <c r="F8" s="18" t="s">
        <v>97</v>
      </c>
      <c r="G8" s="19" t="s">
        <v>63</v>
      </c>
      <c r="H8" s="17" t="s">
        <v>25</v>
      </c>
      <c r="I8" s="18" t="s">
        <v>98</v>
      </c>
      <c r="J8" s="17" t="s">
        <v>65</v>
      </c>
      <c r="K8" s="17" t="s">
        <v>66</v>
      </c>
    </row>
    <row r="9" spans="1:11" ht="23.25" customHeight="1" x14ac:dyDescent="0.25">
      <c r="A9" s="17" t="s">
        <v>99</v>
      </c>
      <c r="B9" s="18" t="s">
        <v>30</v>
      </c>
      <c r="C9" s="18" t="s">
        <v>59</v>
      </c>
      <c r="D9" s="18" t="s">
        <v>100</v>
      </c>
      <c r="E9" s="18" t="s">
        <v>101</v>
      </c>
      <c r="F9" s="18" t="s">
        <v>102</v>
      </c>
      <c r="G9" s="17" t="s">
        <v>76</v>
      </c>
      <c r="H9" s="17" t="s">
        <v>25</v>
      </c>
      <c r="I9" s="18" t="s">
        <v>103</v>
      </c>
      <c r="J9" s="17" t="s">
        <v>65</v>
      </c>
      <c r="K9" s="17" t="s">
        <v>66</v>
      </c>
    </row>
    <row r="10" spans="1:11" ht="34.5" customHeight="1" x14ac:dyDescent="0.25">
      <c r="A10" s="17" t="s">
        <v>104</v>
      </c>
      <c r="B10" s="18" t="s">
        <v>30</v>
      </c>
      <c r="C10" s="18" t="s">
        <v>59</v>
      </c>
      <c r="D10" s="18" t="s">
        <v>105</v>
      </c>
      <c r="E10" s="18" t="s">
        <v>106</v>
      </c>
      <c r="F10" s="18" t="s">
        <v>107</v>
      </c>
      <c r="G10" s="17" t="s">
        <v>76</v>
      </c>
      <c r="H10" s="17" t="s">
        <v>25</v>
      </c>
      <c r="I10" s="18" t="s">
        <v>108</v>
      </c>
      <c r="J10" s="17" t="s">
        <v>65</v>
      </c>
      <c r="K10" s="17" t="s">
        <v>66</v>
      </c>
    </row>
    <row r="11" spans="1:11" ht="34.5" customHeight="1" x14ac:dyDescent="0.25">
      <c r="A11" s="17" t="s">
        <v>109</v>
      </c>
      <c r="B11" s="18" t="s">
        <v>30</v>
      </c>
      <c r="C11" s="18" t="s">
        <v>59</v>
      </c>
      <c r="D11" s="18" t="s">
        <v>110</v>
      </c>
      <c r="E11" s="18" t="s">
        <v>111</v>
      </c>
      <c r="F11" s="18" t="s">
        <v>112</v>
      </c>
      <c r="G11" s="19" t="s">
        <v>63</v>
      </c>
      <c r="H11" s="17" t="s">
        <v>25</v>
      </c>
      <c r="I11" s="18" t="s">
        <v>113</v>
      </c>
      <c r="J11" s="17" t="s">
        <v>65</v>
      </c>
      <c r="K11" s="17" t="s">
        <v>66</v>
      </c>
    </row>
    <row r="12" spans="1:11" ht="23.25" customHeight="1" x14ac:dyDescent="0.25">
      <c r="A12" s="17" t="s">
        <v>114</v>
      </c>
      <c r="B12" s="18" t="s">
        <v>30</v>
      </c>
      <c r="C12" s="18" t="s">
        <v>59</v>
      </c>
      <c r="D12" s="18" t="s">
        <v>115</v>
      </c>
      <c r="E12" s="18" t="s">
        <v>116</v>
      </c>
      <c r="F12" s="18" t="s">
        <v>117</v>
      </c>
      <c r="G12" s="17" t="s">
        <v>76</v>
      </c>
      <c r="H12" s="17" t="s">
        <v>25</v>
      </c>
      <c r="I12" s="18" t="s">
        <v>118</v>
      </c>
      <c r="J12" s="17" t="s">
        <v>65</v>
      </c>
      <c r="K12" s="17" t="s">
        <v>66</v>
      </c>
    </row>
    <row r="13" spans="1:11" ht="34.5" customHeight="1" x14ac:dyDescent="0.25">
      <c r="A13" s="17" t="s">
        <v>119</v>
      </c>
      <c r="B13" s="18" t="s">
        <v>31</v>
      </c>
      <c r="C13" s="18" t="s">
        <v>120</v>
      </c>
      <c r="D13" s="18" t="s">
        <v>121</v>
      </c>
      <c r="E13" s="18" t="s">
        <v>122</v>
      </c>
      <c r="F13" s="18" t="s">
        <v>123</v>
      </c>
      <c r="G13" s="19" t="s">
        <v>63</v>
      </c>
      <c r="H13" s="17" t="s">
        <v>25</v>
      </c>
      <c r="I13" s="18" t="s">
        <v>124</v>
      </c>
      <c r="J13" s="17" t="s">
        <v>65</v>
      </c>
      <c r="K13" s="17" t="s">
        <v>66</v>
      </c>
    </row>
    <row r="14" spans="1:11" ht="23.25" customHeight="1" x14ac:dyDescent="0.25">
      <c r="A14" s="17" t="s">
        <v>125</v>
      </c>
      <c r="B14" s="18" t="s">
        <v>31</v>
      </c>
      <c r="C14" s="18" t="s">
        <v>120</v>
      </c>
      <c r="D14" s="18" t="s">
        <v>126</v>
      </c>
      <c r="E14" s="18" t="s">
        <v>127</v>
      </c>
      <c r="F14" s="18" t="s">
        <v>128</v>
      </c>
      <c r="G14" s="17" t="s">
        <v>76</v>
      </c>
      <c r="H14" s="17" t="s">
        <v>25</v>
      </c>
      <c r="I14" s="18" t="s">
        <v>129</v>
      </c>
      <c r="J14" s="17" t="s">
        <v>65</v>
      </c>
      <c r="K14" s="17" t="s">
        <v>66</v>
      </c>
    </row>
    <row r="15" spans="1:11" ht="23.25" customHeight="1" x14ac:dyDescent="0.25">
      <c r="A15" s="17" t="s">
        <v>130</v>
      </c>
      <c r="B15" s="18" t="s">
        <v>31</v>
      </c>
      <c r="C15" s="18" t="s">
        <v>120</v>
      </c>
      <c r="D15" s="18" t="s">
        <v>131</v>
      </c>
      <c r="E15" s="18" t="s">
        <v>132</v>
      </c>
      <c r="F15" s="18" t="s">
        <v>133</v>
      </c>
      <c r="G15" s="17" t="s">
        <v>76</v>
      </c>
      <c r="H15" s="17" t="s">
        <v>25</v>
      </c>
      <c r="I15" s="18" t="s">
        <v>134</v>
      </c>
      <c r="J15" s="17" t="s">
        <v>65</v>
      </c>
      <c r="K15" s="17" t="s">
        <v>66</v>
      </c>
    </row>
    <row r="16" spans="1:11" ht="23.25" customHeight="1" x14ac:dyDescent="0.25">
      <c r="A16" s="17" t="s">
        <v>135</v>
      </c>
      <c r="B16" s="18" t="s">
        <v>31</v>
      </c>
      <c r="C16" s="18" t="s">
        <v>120</v>
      </c>
      <c r="D16" s="18" t="s">
        <v>136</v>
      </c>
      <c r="E16" s="18" t="s">
        <v>137</v>
      </c>
      <c r="F16" s="18" t="s">
        <v>138</v>
      </c>
      <c r="G16" s="17" t="s">
        <v>76</v>
      </c>
      <c r="H16" s="17" t="s">
        <v>25</v>
      </c>
      <c r="I16" s="18" t="s">
        <v>139</v>
      </c>
      <c r="J16" s="17" t="s">
        <v>65</v>
      </c>
      <c r="K16" s="17" t="s">
        <v>66</v>
      </c>
    </row>
    <row r="17" spans="1:11" ht="23.25" customHeight="1" x14ac:dyDescent="0.25">
      <c r="A17" s="17" t="s">
        <v>140</v>
      </c>
      <c r="B17" s="18" t="s">
        <v>31</v>
      </c>
      <c r="C17" s="18" t="s">
        <v>120</v>
      </c>
      <c r="D17" s="18" t="s">
        <v>141</v>
      </c>
      <c r="E17" s="18" t="s">
        <v>142</v>
      </c>
      <c r="F17" s="18" t="s">
        <v>143</v>
      </c>
      <c r="G17" s="17" t="s">
        <v>76</v>
      </c>
      <c r="H17" s="17" t="s">
        <v>25</v>
      </c>
      <c r="I17" s="18" t="s">
        <v>144</v>
      </c>
      <c r="J17" s="17" t="s">
        <v>65</v>
      </c>
      <c r="K17" s="17" t="s">
        <v>66</v>
      </c>
    </row>
    <row r="18" spans="1:11" ht="23.25" customHeight="1" x14ac:dyDescent="0.25">
      <c r="A18" s="17" t="s">
        <v>145</v>
      </c>
      <c r="B18" s="18" t="s">
        <v>31</v>
      </c>
      <c r="C18" s="18" t="s">
        <v>120</v>
      </c>
      <c r="D18" s="18" t="s">
        <v>146</v>
      </c>
      <c r="E18" s="18" t="s">
        <v>147</v>
      </c>
      <c r="F18" s="18" t="s">
        <v>148</v>
      </c>
      <c r="G18" s="17" t="s">
        <v>92</v>
      </c>
      <c r="H18" s="17" t="s">
        <v>25</v>
      </c>
      <c r="I18" s="18" t="s">
        <v>149</v>
      </c>
      <c r="J18" s="17" t="s">
        <v>65</v>
      </c>
      <c r="K18" s="17" t="s">
        <v>66</v>
      </c>
    </row>
    <row r="19" spans="1:11" ht="23.25" customHeight="1" x14ac:dyDescent="0.25">
      <c r="A19" s="17" t="s">
        <v>150</v>
      </c>
      <c r="B19" s="18" t="s">
        <v>31</v>
      </c>
      <c r="C19" s="18" t="s">
        <v>120</v>
      </c>
      <c r="D19" s="18" t="s">
        <v>151</v>
      </c>
      <c r="E19" s="18" t="s">
        <v>152</v>
      </c>
      <c r="F19" s="18" t="s">
        <v>81</v>
      </c>
      <c r="G19" s="17" t="s">
        <v>76</v>
      </c>
      <c r="H19" s="17" t="s">
        <v>25</v>
      </c>
      <c r="I19" s="18" t="s">
        <v>153</v>
      </c>
      <c r="J19" s="17" t="s">
        <v>65</v>
      </c>
      <c r="K19" s="17" t="s">
        <v>66</v>
      </c>
    </row>
    <row r="20" spans="1:11" ht="23.25" customHeight="1" x14ac:dyDescent="0.25">
      <c r="A20" s="17" t="s">
        <v>154</v>
      </c>
      <c r="B20" s="18" t="s">
        <v>31</v>
      </c>
      <c r="C20" s="18" t="s">
        <v>120</v>
      </c>
      <c r="D20" s="18" t="s">
        <v>155</v>
      </c>
      <c r="E20" s="18" t="s">
        <v>156</v>
      </c>
      <c r="F20" s="18" t="s">
        <v>157</v>
      </c>
      <c r="G20" s="17" t="s">
        <v>92</v>
      </c>
      <c r="H20" s="17" t="s">
        <v>25</v>
      </c>
      <c r="I20" s="18" t="s">
        <v>158</v>
      </c>
      <c r="J20" s="17" t="s">
        <v>65</v>
      </c>
      <c r="K20" s="17" t="s">
        <v>66</v>
      </c>
    </row>
    <row r="21" spans="1:11" ht="23.25" customHeight="1" x14ac:dyDescent="0.25">
      <c r="A21" s="17" t="s">
        <v>159</v>
      </c>
      <c r="B21" s="18" t="s">
        <v>32</v>
      </c>
      <c r="C21" s="18" t="s">
        <v>160</v>
      </c>
      <c r="D21" s="18" t="s">
        <v>161</v>
      </c>
      <c r="E21" s="18" t="s">
        <v>162</v>
      </c>
      <c r="F21" s="18" t="s">
        <v>163</v>
      </c>
      <c r="G21" s="17" t="s">
        <v>76</v>
      </c>
      <c r="H21" s="17" t="s">
        <v>25</v>
      </c>
      <c r="I21" s="18" t="s">
        <v>164</v>
      </c>
      <c r="J21" s="17" t="s">
        <v>65</v>
      </c>
      <c r="K21" s="17" t="s">
        <v>165</v>
      </c>
    </row>
    <row r="22" spans="1:11" ht="34.5" customHeight="1" x14ac:dyDescent="0.25">
      <c r="A22" s="17" t="s">
        <v>166</v>
      </c>
      <c r="B22" s="18" t="s">
        <v>32</v>
      </c>
      <c r="C22" s="18" t="s">
        <v>160</v>
      </c>
      <c r="D22" s="18" t="s">
        <v>167</v>
      </c>
      <c r="E22" s="18" t="s">
        <v>168</v>
      </c>
      <c r="F22" s="18" t="s">
        <v>169</v>
      </c>
      <c r="G22" s="17" t="s">
        <v>76</v>
      </c>
      <c r="H22" s="17" t="s">
        <v>25</v>
      </c>
      <c r="I22" s="18" t="s">
        <v>170</v>
      </c>
      <c r="J22" s="17" t="s">
        <v>65</v>
      </c>
      <c r="K22" s="17" t="s">
        <v>165</v>
      </c>
    </row>
    <row r="23" spans="1:11" ht="23.25" customHeight="1" x14ac:dyDescent="0.25">
      <c r="A23" s="17" t="s">
        <v>171</v>
      </c>
      <c r="B23" s="18" t="s">
        <v>32</v>
      </c>
      <c r="C23" s="18" t="s">
        <v>160</v>
      </c>
      <c r="D23" s="18" t="s">
        <v>172</v>
      </c>
      <c r="E23" s="18" t="s">
        <v>173</v>
      </c>
      <c r="F23" s="18" t="s">
        <v>174</v>
      </c>
      <c r="G23" s="17" t="s">
        <v>92</v>
      </c>
      <c r="H23" s="17" t="s">
        <v>25</v>
      </c>
      <c r="I23" s="18" t="s">
        <v>175</v>
      </c>
      <c r="J23" s="17" t="s">
        <v>65</v>
      </c>
      <c r="K23" s="17" t="s">
        <v>165</v>
      </c>
    </row>
    <row r="24" spans="1:11" ht="23.25" customHeight="1" x14ac:dyDescent="0.25">
      <c r="A24" s="17" t="s">
        <v>176</v>
      </c>
      <c r="B24" s="18" t="s">
        <v>32</v>
      </c>
      <c r="C24" s="18" t="s">
        <v>160</v>
      </c>
      <c r="D24" s="18" t="s">
        <v>177</v>
      </c>
      <c r="E24" s="18" t="s">
        <v>178</v>
      </c>
      <c r="F24" s="18" t="s">
        <v>179</v>
      </c>
      <c r="G24" s="17" t="s">
        <v>76</v>
      </c>
      <c r="H24" s="17" t="s">
        <v>25</v>
      </c>
      <c r="I24" s="18" t="s">
        <v>180</v>
      </c>
      <c r="J24" s="17" t="s">
        <v>65</v>
      </c>
      <c r="K24" s="17" t="s">
        <v>165</v>
      </c>
    </row>
    <row r="25" spans="1:11" ht="23.25" customHeight="1" x14ac:dyDescent="0.25">
      <c r="A25" s="17" t="s">
        <v>181</v>
      </c>
      <c r="B25" s="18" t="s">
        <v>33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9" t="s">
        <v>63</v>
      </c>
      <c r="H25" s="17" t="s">
        <v>25</v>
      </c>
      <c r="I25" s="18" t="s">
        <v>186</v>
      </c>
      <c r="J25" s="17" t="s">
        <v>65</v>
      </c>
      <c r="K25" s="17" t="s">
        <v>165</v>
      </c>
    </row>
    <row r="26" spans="1:11" ht="15" customHeight="1" x14ac:dyDescent="0.25">
      <c r="A26" s="17" t="s">
        <v>187</v>
      </c>
      <c r="B26" s="18" t="s">
        <v>33</v>
      </c>
      <c r="C26" s="18" t="s">
        <v>182</v>
      </c>
      <c r="D26" s="18" t="s">
        <v>188</v>
      </c>
      <c r="E26" s="18" t="s">
        <v>189</v>
      </c>
      <c r="F26" s="18" t="s">
        <v>190</v>
      </c>
      <c r="G26" s="19" t="s">
        <v>63</v>
      </c>
      <c r="H26" s="17" t="s">
        <v>25</v>
      </c>
      <c r="I26" s="18" t="s">
        <v>191</v>
      </c>
      <c r="J26" s="17" t="s">
        <v>65</v>
      </c>
      <c r="K26" s="17" t="s">
        <v>165</v>
      </c>
    </row>
    <row r="27" spans="1:11" ht="15" customHeight="1" x14ac:dyDescent="0.25">
      <c r="A27" s="17" t="s">
        <v>192</v>
      </c>
      <c r="B27" s="18" t="s">
        <v>33</v>
      </c>
      <c r="C27" s="18" t="s">
        <v>182</v>
      </c>
      <c r="D27" s="18" t="s">
        <v>193</v>
      </c>
      <c r="E27" s="18" t="s">
        <v>194</v>
      </c>
      <c r="F27" s="18" t="s">
        <v>195</v>
      </c>
      <c r="G27" s="19" t="s">
        <v>63</v>
      </c>
      <c r="H27" s="17" t="s">
        <v>25</v>
      </c>
      <c r="I27" s="18" t="s">
        <v>196</v>
      </c>
      <c r="J27" s="17" t="s">
        <v>65</v>
      </c>
      <c r="K27" s="17" t="s">
        <v>165</v>
      </c>
    </row>
    <row r="28" spans="1:11" ht="15" customHeight="1" x14ac:dyDescent="0.25">
      <c r="A28" s="17" t="s">
        <v>197</v>
      </c>
      <c r="B28" s="18" t="s">
        <v>33</v>
      </c>
      <c r="C28" s="18" t="s">
        <v>182</v>
      </c>
      <c r="D28" s="18" t="s">
        <v>198</v>
      </c>
      <c r="E28" s="18" t="s">
        <v>199</v>
      </c>
      <c r="F28" s="18" t="s">
        <v>200</v>
      </c>
      <c r="G28" s="19" t="s">
        <v>63</v>
      </c>
      <c r="H28" s="17" t="s">
        <v>25</v>
      </c>
      <c r="I28" s="18" t="s">
        <v>201</v>
      </c>
      <c r="J28" s="17" t="s">
        <v>65</v>
      </c>
      <c r="K28" s="17" t="s">
        <v>165</v>
      </c>
    </row>
    <row r="29" spans="1:11" ht="23.25" customHeight="1" x14ac:dyDescent="0.25">
      <c r="A29" s="17" t="s">
        <v>202</v>
      </c>
      <c r="B29" s="18" t="s">
        <v>33</v>
      </c>
      <c r="C29" s="18" t="s">
        <v>182</v>
      </c>
      <c r="D29" s="18" t="s">
        <v>203</v>
      </c>
      <c r="E29" s="18" t="s">
        <v>204</v>
      </c>
      <c r="F29" s="18" t="s">
        <v>205</v>
      </c>
      <c r="G29" s="19" t="s">
        <v>63</v>
      </c>
      <c r="H29" s="17" t="s">
        <v>25</v>
      </c>
      <c r="I29" s="18" t="s">
        <v>206</v>
      </c>
      <c r="J29" s="17" t="s">
        <v>65</v>
      </c>
      <c r="K29" s="17" t="s">
        <v>165</v>
      </c>
    </row>
    <row r="30" spans="1:11" ht="23.25" customHeight="1" x14ac:dyDescent="0.25">
      <c r="A30" s="17" t="s">
        <v>207</v>
      </c>
      <c r="B30" s="18" t="s">
        <v>33</v>
      </c>
      <c r="C30" s="18" t="s">
        <v>182</v>
      </c>
      <c r="D30" s="18" t="s">
        <v>208</v>
      </c>
      <c r="E30" s="18" t="s">
        <v>209</v>
      </c>
      <c r="F30" s="18" t="s">
        <v>210</v>
      </c>
      <c r="G30" s="17" t="s">
        <v>76</v>
      </c>
      <c r="H30" s="17" t="s">
        <v>25</v>
      </c>
      <c r="I30" s="18" t="s">
        <v>210</v>
      </c>
      <c r="J30" s="17" t="s">
        <v>65</v>
      </c>
      <c r="K30" s="17" t="s">
        <v>165</v>
      </c>
    </row>
    <row r="31" spans="1:11" ht="23.25" customHeight="1" x14ac:dyDescent="0.25">
      <c r="A31" s="17" t="s">
        <v>211</v>
      </c>
      <c r="B31" s="18" t="s">
        <v>33</v>
      </c>
      <c r="C31" s="18" t="s">
        <v>182</v>
      </c>
      <c r="D31" s="18" t="s">
        <v>212</v>
      </c>
      <c r="E31" s="18" t="s">
        <v>213</v>
      </c>
      <c r="F31" s="18" t="s">
        <v>214</v>
      </c>
      <c r="G31" s="17" t="s">
        <v>76</v>
      </c>
      <c r="H31" s="17" t="s">
        <v>25</v>
      </c>
      <c r="I31" s="18" t="s">
        <v>215</v>
      </c>
      <c r="J31" s="17" t="s">
        <v>65</v>
      </c>
      <c r="K31" s="17" t="s">
        <v>165</v>
      </c>
    </row>
    <row r="32" spans="1:11" ht="23.25" customHeight="1" x14ac:dyDescent="0.25">
      <c r="A32" s="17" t="s">
        <v>216</v>
      </c>
      <c r="B32" s="18" t="s">
        <v>33</v>
      </c>
      <c r="C32" s="18" t="s">
        <v>182</v>
      </c>
      <c r="D32" s="18" t="s">
        <v>217</v>
      </c>
      <c r="E32" s="18" t="s">
        <v>218</v>
      </c>
      <c r="F32" s="18" t="s">
        <v>219</v>
      </c>
      <c r="G32" s="17" t="s">
        <v>92</v>
      </c>
      <c r="H32" s="17" t="s">
        <v>25</v>
      </c>
      <c r="I32" s="18" t="s">
        <v>220</v>
      </c>
      <c r="J32" s="17" t="s">
        <v>65</v>
      </c>
      <c r="K32" s="17" t="s">
        <v>165</v>
      </c>
    </row>
    <row r="33" spans="1:11" ht="15" customHeight="1" x14ac:dyDescent="0.25">
      <c r="A33" s="17" t="s">
        <v>221</v>
      </c>
      <c r="B33" s="18" t="s">
        <v>33</v>
      </c>
      <c r="C33" s="18" t="s">
        <v>182</v>
      </c>
      <c r="D33" s="18" t="s">
        <v>222</v>
      </c>
      <c r="E33" s="18" t="s">
        <v>223</v>
      </c>
      <c r="F33" s="18" t="s">
        <v>81</v>
      </c>
      <c r="G33" s="17" t="s">
        <v>76</v>
      </c>
      <c r="H33" s="17" t="s">
        <v>25</v>
      </c>
      <c r="I33" s="18" t="s">
        <v>224</v>
      </c>
      <c r="J33" s="17" t="s">
        <v>65</v>
      </c>
      <c r="K33" s="17" t="s">
        <v>165</v>
      </c>
    </row>
    <row r="34" spans="1:11" ht="34.5" customHeight="1" x14ac:dyDescent="0.25">
      <c r="A34" s="17" t="s">
        <v>225</v>
      </c>
      <c r="B34" s="18" t="s">
        <v>34</v>
      </c>
      <c r="C34" s="18" t="s">
        <v>226</v>
      </c>
      <c r="D34" s="18" t="s">
        <v>227</v>
      </c>
      <c r="E34" s="18" t="s">
        <v>228</v>
      </c>
      <c r="F34" s="18" t="s">
        <v>229</v>
      </c>
      <c r="G34" s="17" t="s">
        <v>76</v>
      </c>
      <c r="H34" s="17" t="s">
        <v>25</v>
      </c>
      <c r="I34" s="18" t="s">
        <v>230</v>
      </c>
      <c r="J34" s="17" t="s">
        <v>65</v>
      </c>
      <c r="K34" s="17" t="s">
        <v>165</v>
      </c>
    </row>
    <row r="35" spans="1:11" ht="23.25" customHeight="1" x14ac:dyDescent="0.25">
      <c r="A35" s="17" t="s">
        <v>231</v>
      </c>
      <c r="B35" s="18" t="s">
        <v>34</v>
      </c>
      <c r="C35" s="18" t="s">
        <v>226</v>
      </c>
      <c r="D35" s="18" t="s">
        <v>232</v>
      </c>
      <c r="E35" s="18" t="s">
        <v>233</v>
      </c>
      <c r="F35" s="18" t="s">
        <v>234</v>
      </c>
      <c r="G35" s="17" t="s">
        <v>92</v>
      </c>
      <c r="H35" s="17" t="s">
        <v>25</v>
      </c>
      <c r="I35" s="18" t="s">
        <v>235</v>
      </c>
      <c r="J35" s="17" t="s">
        <v>65</v>
      </c>
      <c r="K35" s="17" t="s">
        <v>165</v>
      </c>
    </row>
    <row r="36" spans="1:11" ht="34.5" customHeight="1" x14ac:dyDescent="0.25">
      <c r="A36" s="17" t="s">
        <v>236</v>
      </c>
      <c r="B36" s="18" t="s">
        <v>35</v>
      </c>
      <c r="C36" s="18" t="s">
        <v>237</v>
      </c>
      <c r="D36" s="18" t="s">
        <v>238</v>
      </c>
      <c r="E36" s="18" t="s">
        <v>239</v>
      </c>
      <c r="F36" s="18" t="s">
        <v>240</v>
      </c>
      <c r="G36" s="17" t="s">
        <v>76</v>
      </c>
      <c r="H36" s="17" t="s">
        <v>25</v>
      </c>
      <c r="I36" s="18" t="s">
        <v>241</v>
      </c>
      <c r="J36" s="17" t="s">
        <v>65</v>
      </c>
      <c r="K36" s="17" t="s">
        <v>165</v>
      </c>
    </row>
    <row r="37" spans="1:11" ht="23.25" customHeight="1" x14ac:dyDescent="0.25">
      <c r="A37" s="17" t="s">
        <v>242</v>
      </c>
      <c r="B37" s="18" t="s">
        <v>35</v>
      </c>
      <c r="C37" s="18" t="s">
        <v>237</v>
      </c>
      <c r="D37" s="18" t="s">
        <v>243</v>
      </c>
      <c r="E37" s="18" t="s">
        <v>244</v>
      </c>
      <c r="F37" s="18" t="s">
        <v>245</v>
      </c>
      <c r="G37" s="17" t="s">
        <v>92</v>
      </c>
      <c r="H37" s="17" t="s">
        <v>25</v>
      </c>
      <c r="I37" s="18" t="s">
        <v>246</v>
      </c>
      <c r="J37" s="17" t="s">
        <v>65</v>
      </c>
      <c r="K37" s="17" t="s">
        <v>165</v>
      </c>
    </row>
    <row r="38" spans="1:11" ht="34.5" customHeight="1" x14ac:dyDescent="0.25">
      <c r="A38" s="17" t="s">
        <v>247</v>
      </c>
      <c r="B38" s="18" t="s">
        <v>36</v>
      </c>
      <c r="C38" s="18" t="s">
        <v>248</v>
      </c>
      <c r="D38" s="18" t="s">
        <v>249</v>
      </c>
      <c r="E38" s="18" t="s">
        <v>239</v>
      </c>
      <c r="F38" s="18" t="s">
        <v>250</v>
      </c>
      <c r="G38" s="17" t="s">
        <v>76</v>
      </c>
      <c r="H38" s="17" t="s">
        <v>25</v>
      </c>
      <c r="I38" s="18" t="s">
        <v>251</v>
      </c>
      <c r="J38" s="17" t="s">
        <v>65</v>
      </c>
      <c r="K38" s="17" t="s">
        <v>165</v>
      </c>
    </row>
    <row r="39" spans="1:11" ht="34.5" customHeight="1" x14ac:dyDescent="0.25">
      <c r="A39" s="17" t="s">
        <v>252</v>
      </c>
      <c r="B39" s="18" t="s">
        <v>36</v>
      </c>
      <c r="C39" s="18" t="s">
        <v>248</v>
      </c>
      <c r="D39" s="18" t="s">
        <v>253</v>
      </c>
      <c r="E39" s="18" t="s">
        <v>254</v>
      </c>
      <c r="F39" s="18" t="s">
        <v>255</v>
      </c>
      <c r="G39" s="17" t="s">
        <v>76</v>
      </c>
      <c r="H39" s="17" t="s">
        <v>25</v>
      </c>
      <c r="I39" s="18" t="s">
        <v>256</v>
      </c>
      <c r="J39" s="17" t="s">
        <v>65</v>
      </c>
      <c r="K39" s="17" t="s">
        <v>165</v>
      </c>
    </row>
    <row r="40" spans="1:11" ht="23.25" customHeight="1" x14ac:dyDescent="0.25">
      <c r="A40" s="17" t="s">
        <v>257</v>
      </c>
      <c r="B40" s="18" t="s">
        <v>36</v>
      </c>
      <c r="C40" s="18" t="s">
        <v>248</v>
      </c>
      <c r="D40" s="18" t="s">
        <v>258</v>
      </c>
      <c r="E40" s="18" t="s">
        <v>259</v>
      </c>
      <c r="F40" s="18" t="s">
        <v>260</v>
      </c>
      <c r="G40" s="17" t="s">
        <v>76</v>
      </c>
      <c r="H40" s="17" t="s">
        <v>25</v>
      </c>
      <c r="I40" s="18" t="s">
        <v>261</v>
      </c>
      <c r="J40" s="17" t="s">
        <v>65</v>
      </c>
      <c r="K40" s="17" t="s">
        <v>165</v>
      </c>
    </row>
    <row r="41" spans="1:11" ht="23.25" customHeight="1" x14ac:dyDescent="0.25">
      <c r="A41" s="17" t="s">
        <v>262</v>
      </c>
      <c r="B41" s="18" t="s">
        <v>37</v>
      </c>
      <c r="C41" s="18" t="s">
        <v>263</v>
      </c>
      <c r="D41" s="18" t="s">
        <v>264</v>
      </c>
      <c r="E41" s="18" t="s">
        <v>265</v>
      </c>
      <c r="F41" s="18" t="s">
        <v>266</v>
      </c>
      <c r="G41" s="17" t="s">
        <v>76</v>
      </c>
      <c r="H41" s="17" t="s">
        <v>25</v>
      </c>
      <c r="I41" s="18" t="s">
        <v>267</v>
      </c>
      <c r="J41" s="17" t="s">
        <v>65</v>
      </c>
      <c r="K41" s="17" t="s">
        <v>268</v>
      </c>
    </row>
    <row r="42" spans="1:11" ht="23.25" customHeight="1" x14ac:dyDescent="0.25">
      <c r="A42" s="17" t="s">
        <v>269</v>
      </c>
      <c r="B42" s="18" t="s">
        <v>37</v>
      </c>
      <c r="C42" s="18" t="s">
        <v>263</v>
      </c>
      <c r="D42" s="18" t="s">
        <v>270</v>
      </c>
      <c r="E42" s="18" t="s">
        <v>271</v>
      </c>
      <c r="F42" s="18" t="s">
        <v>272</v>
      </c>
      <c r="G42" s="19" t="s">
        <v>63</v>
      </c>
      <c r="H42" s="17" t="s">
        <v>25</v>
      </c>
      <c r="I42" s="18" t="s">
        <v>273</v>
      </c>
      <c r="J42" s="17" t="s">
        <v>65</v>
      </c>
      <c r="K42" s="17" t="s">
        <v>268</v>
      </c>
    </row>
    <row r="43" spans="1:11" ht="23.25" customHeight="1" x14ac:dyDescent="0.25">
      <c r="A43" s="17" t="s">
        <v>274</v>
      </c>
      <c r="B43" s="18" t="s">
        <v>37</v>
      </c>
      <c r="C43" s="18" t="s">
        <v>263</v>
      </c>
      <c r="D43" s="18" t="s">
        <v>275</v>
      </c>
      <c r="E43" s="18" t="s">
        <v>276</v>
      </c>
      <c r="F43" s="18" t="s">
        <v>277</v>
      </c>
      <c r="G43" s="19" t="s">
        <v>63</v>
      </c>
      <c r="H43" s="17" t="s">
        <v>25</v>
      </c>
      <c r="I43" s="18" t="s">
        <v>278</v>
      </c>
      <c r="J43" s="17" t="s">
        <v>65</v>
      </c>
      <c r="K43" s="17" t="s">
        <v>268</v>
      </c>
    </row>
    <row r="44" spans="1:11" ht="23.25" customHeight="1" x14ac:dyDescent="0.25">
      <c r="A44" s="17" t="s">
        <v>279</v>
      </c>
      <c r="B44" s="18" t="s">
        <v>37</v>
      </c>
      <c r="C44" s="18" t="s">
        <v>263</v>
      </c>
      <c r="D44" s="18" t="s">
        <v>280</v>
      </c>
      <c r="E44" s="18" t="s">
        <v>281</v>
      </c>
      <c r="F44" s="18" t="s">
        <v>282</v>
      </c>
      <c r="G44" s="17" t="s">
        <v>76</v>
      </c>
      <c r="H44" s="17" t="s">
        <v>25</v>
      </c>
      <c r="I44" s="18" t="s">
        <v>283</v>
      </c>
      <c r="J44" s="17" t="s">
        <v>65</v>
      </c>
      <c r="K44" s="17" t="s">
        <v>268</v>
      </c>
    </row>
    <row r="45" spans="1:11" ht="34.5" customHeight="1" x14ac:dyDescent="0.25">
      <c r="A45" s="17" t="s">
        <v>284</v>
      </c>
      <c r="B45" s="18" t="s">
        <v>37</v>
      </c>
      <c r="C45" s="18" t="s">
        <v>263</v>
      </c>
      <c r="D45" s="18" t="s">
        <v>285</v>
      </c>
      <c r="E45" s="18" t="s">
        <v>286</v>
      </c>
      <c r="F45" s="18" t="s">
        <v>287</v>
      </c>
      <c r="G45" s="17" t="s">
        <v>76</v>
      </c>
      <c r="H45" s="17" t="s">
        <v>25</v>
      </c>
      <c r="I45" s="18" t="s">
        <v>288</v>
      </c>
      <c r="J45" s="17" t="s">
        <v>65</v>
      </c>
      <c r="K45" s="17" t="s">
        <v>268</v>
      </c>
    </row>
    <row r="46" spans="1:11" ht="23.25" customHeight="1" x14ac:dyDescent="0.25">
      <c r="A46" s="17" t="s">
        <v>289</v>
      </c>
      <c r="B46" s="18" t="s">
        <v>37</v>
      </c>
      <c r="C46" s="18" t="s">
        <v>263</v>
      </c>
      <c r="D46" s="18" t="s">
        <v>290</v>
      </c>
      <c r="E46" s="18" t="s">
        <v>291</v>
      </c>
      <c r="F46" s="18" t="s">
        <v>292</v>
      </c>
      <c r="G46" s="17" t="s">
        <v>92</v>
      </c>
      <c r="H46" s="17" t="s">
        <v>25</v>
      </c>
      <c r="I46" s="18" t="s">
        <v>293</v>
      </c>
      <c r="J46" s="17" t="s">
        <v>65</v>
      </c>
      <c r="K46" s="17" t="s">
        <v>268</v>
      </c>
    </row>
    <row r="47" spans="1:11" ht="34.5" customHeight="1" x14ac:dyDescent="0.25">
      <c r="A47" s="17" t="s">
        <v>294</v>
      </c>
      <c r="B47" s="18" t="s">
        <v>38</v>
      </c>
      <c r="C47" s="18" t="s">
        <v>295</v>
      </c>
      <c r="D47" s="18" t="s">
        <v>296</v>
      </c>
      <c r="E47" s="18" t="s">
        <v>239</v>
      </c>
      <c r="F47" s="18" t="s">
        <v>297</v>
      </c>
      <c r="G47" s="17" t="s">
        <v>76</v>
      </c>
      <c r="H47" s="17" t="s">
        <v>25</v>
      </c>
      <c r="I47" s="18" t="s">
        <v>298</v>
      </c>
      <c r="J47" s="17" t="s">
        <v>65</v>
      </c>
      <c r="K47" s="17" t="s">
        <v>268</v>
      </c>
    </row>
    <row r="48" spans="1:11" ht="34.5" customHeight="1" x14ac:dyDescent="0.25">
      <c r="A48" s="17" t="s">
        <v>299</v>
      </c>
      <c r="B48" s="18" t="s">
        <v>38</v>
      </c>
      <c r="C48" s="18" t="s">
        <v>295</v>
      </c>
      <c r="D48" s="18" t="s">
        <v>300</v>
      </c>
      <c r="E48" s="18" t="s">
        <v>301</v>
      </c>
      <c r="F48" s="18" t="s">
        <v>302</v>
      </c>
      <c r="G48" s="19" t="s">
        <v>63</v>
      </c>
      <c r="H48" s="17" t="s">
        <v>25</v>
      </c>
      <c r="I48" s="18" t="s">
        <v>366</v>
      </c>
      <c r="J48" s="17" t="s">
        <v>65</v>
      </c>
      <c r="K48" s="17" t="s">
        <v>367</v>
      </c>
    </row>
    <row r="49" spans="1:11" ht="34.5" customHeight="1" x14ac:dyDescent="0.25">
      <c r="A49" s="17" t="s">
        <v>304</v>
      </c>
      <c r="B49" s="18" t="s">
        <v>39</v>
      </c>
      <c r="C49" s="18" t="s">
        <v>59</v>
      </c>
      <c r="D49" s="18" t="s">
        <v>305</v>
      </c>
      <c r="E49" s="18" t="s">
        <v>306</v>
      </c>
      <c r="F49" s="18" t="s">
        <v>307</v>
      </c>
      <c r="G49" s="17" t="s">
        <v>76</v>
      </c>
      <c r="H49" s="17" t="s">
        <v>25</v>
      </c>
      <c r="I49" s="18" t="s">
        <v>308</v>
      </c>
      <c r="J49" s="17" t="s">
        <v>65</v>
      </c>
      <c r="K49" s="17" t="s">
        <v>268</v>
      </c>
    </row>
    <row r="50" spans="1:11" ht="23.25" customHeight="1" x14ac:dyDescent="0.25">
      <c r="A50" s="17" t="s">
        <v>309</v>
      </c>
      <c r="B50" s="18" t="s">
        <v>39</v>
      </c>
      <c r="C50" s="18" t="s">
        <v>310</v>
      </c>
      <c r="D50" s="18" t="s">
        <v>311</v>
      </c>
      <c r="E50" s="18" t="s">
        <v>312</v>
      </c>
      <c r="F50" s="18" t="s">
        <v>313</v>
      </c>
      <c r="G50" s="17" t="s">
        <v>92</v>
      </c>
      <c r="H50" s="17" t="s">
        <v>25</v>
      </c>
      <c r="I50" s="18" t="s">
        <v>314</v>
      </c>
      <c r="J50" s="17" t="s">
        <v>65</v>
      </c>
      <c r="K50" s="17" t="s">
        <v>268</v>
      </c>
    </row>
    <row r="51" spans="1:11" ht="23.25" customHeight="1" x14ac:dyDescent="0.25">
      <c r="A51" s="17" t="s">
        <v>315</v>
      </c>
      <c r="B51" s="18" t="s">
        <v>39</v>
      </c>
      <c r="C51" s="18" t="s">
        <v>59</v>
      </c>
      <c r="D51" s="18" t="s">
        <v>316</v>
      </c>
      <c r="E51" s="18" t="s">
        <v>317</v>
      </c>
      <c r="F51" s="18" t="s">
        <v>318</v>
      </c>
      <c r="G51" s="17" t="s">
        <v>76</v>
      </c>
      <c r="H51" s="17" t="s">
        <v>25</v>
      </c>
      <c r="I51" s="18" t="s">
        <v>319</v>
      </c>
      <c r="J51" s="17" t="s">
        <v>65</v>
      </c>
      <c r="K51" s="17" t="s">
        <v>268</v>
      </c>
    </row>
    <row r="52" spans="1:11" ht="15" customHeight="1" x14ac:dyDescent="0.25">
      <c r="A52" s="17" t="s">
        <v>320</v>
      </c>
      <c r="B52" s="18" t="s">
        <v>39</v>
      </c>
      <c r="C52" s="18" t="s">
        <v>59</v>
      </c>
      <c r="D52" s="18" t="s">
        <v>321</v>
      </c>
      <c r="E52" s="18" t="s">
        <v>322</v>
      </c>
      <c r="F52" s="18" t="s">
        <v>323</v>
      </c>
      <c r="G52" s="17" t="s">
        <v>92</v>
      </c>
      <c r="H52" s="17" t="s">
        <v>25</v>
      </c>
      <c r="I52" s="18" t="s">
        <v>324</v>
      </c>
      <c r="J52" s="17" t="s">
        <v>65</v>
      </c>
      <c r="K52" s="17" t="s">
        <v>268</v>
      </c>
    </row>
    <row r="53" spans="1:11" ht="23.25" customHeight="1" x14ac:dyDescent="0.25">
      <c r="A53" s="17" t="s">
        <v>325</v>
      </c>
      <c r="B53" s="18" t="s">
        <v>40</v>
      </c>
      <c r="C53" s="18" t="s">
        <v>59</v>
      </c>
      <c r="D53" s="18" t="s">
        <v>326</v>
      </c>
      <c r="E53" s="18" t="s">
        <v>327</v>
      </c>
      <c r="F53" s="18" t="s">
        <v>328</v>
      </c>
      <c r="G53" s="19" t="s">
        <v>63</v>
      </c>
      <c r="H53" s="17" t="s">
        <v>25</v>
      </c>
      <c r="I53" s="18" t="s">
        <v>329</v>
      </c>
      <c r="J53" s="17" t="s">
        <v>65</v>
      </c>
      <c r="K53" s="17" t="s">
        <v>268</v>
      </c>
    </row>
    <row r="54" spans="1:11" ht="15" customHeight="1" x14ac:dyDescent="0.25">
      <c r="A54" s="17" t="s">
        <v>330</v>
      </c>
      <c r="B54" s="18" t="s">
        <v>40</v>
      </c>
      <c r="C54" s="18" t="s">
        <v>59</v>
      </c>
      <c r="D54" s="18" t="s">
        <v>331</v>
      </c>
      <c r="E54" s="18" t="s">
        <v>332</v>
      </c>
      <c r="F54" s="18" t="s">
        <v>333</v>
      </c>
      <c r="G54" s="17" t="s">
        <v>76</v>
      </c>
      <c r="H54" s="17" t="s">
        <v>25</v>
      </c>
      <c r="I54" s="18" t="s">
        <v>334</v>
      </c>
      <c r="J54" s="17" t="s">
        <v>65</v>
      </c>
      <c r="K54" s="17" t="s">
        <v>268</v>
      </c>
    </row>
    <row r="55" spans="1:11" ht="15" customHeight="1" x14ac:dyDescent="0.25">
      <c r="A55" s="17" t="s">
        <v>335</v>
      </c>
      <c r="B55" s="18" t="s">
        <v>40</v>
      </c>
      <c r="C55" s="18" t="s">
        <v>59</v>
      </c>
      <c r="D55" s="18" t="s">
        <v>336</v>
      </c>
      <c r="E55" s="18" t="s">
        <v>337</v>
      </c>
      <c r="F55" s="18" t="s">
        <v>333</v>
      </c>
      <c r="G55" s="17" t="s">
        <v>76</v>
      </c>
      <c r="H55" s="17" t="s">
        <v>25</v>
      </c>
      <c r="I55" s="18" t="s">
        <v>338</v>
      </c>
      <c r="J55" s="17" t="s">
        <v>65</v>
      </c>
      <c r="K55" s="17" t="s">
        <v>268</v>
      </c>
    </row>
    <row r="56" spans="1:11" ht="23.25" customHeight="1" x14ac:dyDescent="0.25">
      <c r="A56" s="17" t="s">
        <v>339</v>
      </c>
      <c r="B56" s="18" t="s">
        <v>40</v>
      </c>
      <c r="C56" s="18" t="s">
        <v>59</v>
      </c>
      <c r="D56" s="18" t="s">
        <v>340</v>
      </c>
      <c r="E56" s="18" t="s">
        <v>341</v>
      </c>
      <c r="F56" s="18" t="s">
        <v>342</v>
      </c>
      <c r="G56" s="17" t="s">
        <v>76</v>
      </c>
      <c r="H56" s="17" t="s">
        <v>25</v>
      </c>
      <c r="I56" s="18" t="s">
        <v>343</v>
      </c>
      <c r="J56" s="17" t="s">
        <v>65</v>
      </c>
      <c r="K56" s="17" t="s">
        <v>268</v>
      </c>
    </row>
    <row r="57" spans="1:11" ht="23.25" customHeight="1" x14ac:dyDescent="0.25">
      <c r="A57" s="17" t="s">
        <v>344</v>
      </c>
      <c r="B57" s="18" t="s">
        <v>41</v>
      </c>
      <c r="C57" s="18" t="s">
        <v>59</v>
      </c>
      <c r="D57" s="18" t="s">
        <v>345</v>
      </c>
      <c r="E57" s="18" t="s">
        <v>346</v>
      </c>
      <c r="F57" s="18" t="s">
        <v>347</v>
      </c>
      <c r="G57" s="17" t="s">
        <v>76</v>
      </c>
      <c r="H57" s="17" t="s">
        <v>25</v>
      </c>
      <c r="I57" s="18" t="s">
        <v>348</v>
      </c>
      <c r="J57" s="17" t="s">
        <v>65</v>
      </c>
      <c r="K57" s="17" t="s">
        <v>268</v>
      </c>
    </row>
    <row r="58" spans="1:11" ht="23.25" customHeight="1" x14ac:dyDescent="0.25">
      <c r="A58" s="17" t="s">
        <v>349</v>
      </c>
      <c r="B58" s="18" t="s">
        <v>41</v>
      </c>
      <c r="C58" s="18" t="s">
        <v>59</v>
      </c>
      <c r="D58" s="18" t="s">
        <v>350</v>
      </c>
      <c r="E58" s="18" t="s">
        <v>351</v>
      </c>
      <c r="F58" s="18" t="s">
        <v>352</v>
      </c>
      <c r="G58" s="17" t="s">
        <v>76</v>
      </c>
      <c r="H58" s="17" t="s">
        <v>25</v>
      </c>
      <c r="I58" s="18" t="s">
        <v>353</v>
      </c>
      <c r="J58" s="17" t="s">
        <v>65</v>
      </c>
      <c r="K58" s="17" t="s">
        <v>268</v>
      </c>
    </row>
    <row r="59" spans="1:11" ht="23.25" customHeight="1" x14ac:dyDescent="0.25">
      <c r="A59" s="17" t="s">
        <v>354</v>
      </c>
      <c r="B59" s="18" t="s">
        <v>41</v>
      </c>
      <c r="C59" s="18" t="s">
        <v>59</v>
      </c>
      <c r="D59" s="18" t="s">
        <v>355</v>
      </c>
      <c r="E59" s="18" t="s">
        <v>356</v>
      </c>
      <c r="F59" s="18" t="s">
        <v>357</v>
      </c>
      <c r="G59" s="17" t="s">
        <v>92</v>
      </c>
      <c r="H59" s="17" t="s">
        <v>25</v>
      </c>
      <c r="I59" s="18" t="s">
        <v>358</v>
      </c>
      <c r="J59" s="17" t="s">
        <v>65</v>
      </c>
      <c r="K59" s="17" t="s">
        <v>268</v>
      </c>
    </row>
    <row r="60" spans="1:11" ht="34.5" customHeight="1" x14ac:dyDescent="0.25">
      <c r="A60" s="17" t="s">
        <v>359</v>
      </c>
      <c r="B60" s="18" t="s">
        <v>41</v>
      </c>
      <c r="C60" s="18" t="s">
        <v>59</v>
      </c>
      <c r="D60" s="18" t="s">
        <v>360</v>
      </c>
      <c r="E60" s="18" t="s">
        <v>361</v>
      </c>
      <c r="F60" s="18" t="s">
        <v>362</v>
      </c>
      <c r="G60" s="17" t="s">
        <v>76</v>
      </c>
      <c r="H60" s="17" t="s">
        <v>25</v>
      </c>
      <c r="I60" s="18" t="s">
        <v>363</v>
      </c>
      <c r="J60" s="17" t="s">
        <v>65</v>
      </c>
      <c r="K60" s="17" t="s">
        <v>268</v>
      </c>
    </row>
  </sheetData>
  <dataValidations count="1">
    <dataValidation type="list" allowBlank="1" sqref="H2:H60" xr:uid="{00000000-0002-0000-0300-000000000000}">
      <formula1>"OK,KO,NT"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8" customWidth="1"/>
    <col min="2" max="2" width="14" customWidth="1"/>
    <col min="3" max="3" width="16" customWidth="1"/>
    <col min="4" max="4" width="45" customWidth="1"/>
    <col min="5" max="6" width="11" customWidth="1"/>
    <col min="7" max="7" width="40" customWidth="1"/>
    <col min="8" max="9" width="11" customWidth="1"/>
  </cols>
  <sheetData>
    <row r="1" spans="1:9" ht="25.5" customHeight="1" x14ac:dyDescent="0.25">
      <c r="A1" s="16" t="s">
        <v>48</v>
      </c>
      <c r="B1" s="16" t="s">
        <v>368</v>
      </c>
      <c r="C1" s="16" t="s">
        <v>369</v>
      </c>
      <c r="D1" s="16" t="s">
        <v>370</v>
      </c>
      <c r="E1" s="16" t="s">
        <v>53</v>
      </c>
      <c r="F1" s="16" t="s">
        <v>54</v>
      </c>
      <c r="G1" s="16" t="s">
        <v>371</v>
      </c>
      <c r="H1" s="16" t="s">
        <v>372</v>
      </c>
      <c r="I1" s="16" t="s">
        <v>373</v>
      </c>
    </row>
    <row r="2" spans="1:9" ht="34.5" customHeight="1" x14ac:dyDescent="0.25">
      <c r="A2" s="20" t="s">
        <v>374</v>
      </c>
      <c r="B2" s="20" t="s">
        <v>299</v>
      </c>
      <c r="C2" s="20" t="s">
        <v>295</v>
      </c>
      <c r="D2" s="21" t="s">
        <v>375</v>
      </c>
      <c r="E2" s="20" t="s">
        <v>63</v>
      </c>
      <c r="F2" s="20" t="s">
        <v>376</v>
      </c>
      <c r="G2" s="21" t="s">
        <v>377</v>
      </c>
      <c r="H2" s="20" t="s">
        <v>268</v>
      </c>
      <c r="I2" s="20" t="s">
        <v>367</v>
      </c>
    </row>
    <row r="3" spans="1:9" ht="15" customHeight="1" x14ac:dyDescent="0.25">
      <c r="A3" s="12"/>
    </row>
    <row r="4" spans="1:9" ht="15" customHeight="1" x14ac:dyDescent="0.25">
      <c r="A4" s="17"/>
      <c r="B4" s="17"/>
      <c r="C4" s="17"/>
      <c r="D4" s="18"/>
      <c r="E4" s="17"/>
      <c r="F4" s="17"/>
      <c r="G4" s="18"/>
      <c r="H4" s="17"/>
      <c r="I4" s="17"/>
    </row>
    <row r="5" spans="1:9" ht="15" customHeight="1" x14ac:dyDescent="0.25">
      <c r="A5" s="17"/>
      <c r="B5" s="17"/>
      <c r="C5" s="17"/>
      <c r="D5" s="18"/>
      <c r="E5" s="17"/>
      <c r="F5" s="17"/>
      <c r="G5" s="18"/>
      <c r="H5" s="17"/>
      <c r="I5" s="17"/>
    </row>
    <row r="6" spans="1:9" ht="15" customHeight="1" x14ac:dyDescent="0.25">
      <c r="A6" s="17"/>
      <c r="B6" s="17"/>
      <c r="C6" s="17"/>
      <c r="D6" s="18"/>
      <c r="E6" s="17"/>
      <c r="F6" s="17"/>
      <c r="G6" s="18"/>
      <c r="H6" s="17"/>
      <c r="I6" s="17"/>
    </row>
    <row r="7" spans="1:9" ht="15" customHeight="1" x14ac:dyDescent="0.25">
      <c r="A7" s="17"/>
      <c r="B7" s="17"/>
      <c r="C7" s="17"/>
      <c r="D7" s="18"/>
      <c r="E7" s="17"/>
      <c r="F7" s="17"/>
      <c r="G7" s="18"/>
      <c r="H7" s="17"/>
      <c r="I7" s="17"/>
    </row>
    <row r="8" spans="1:9" ht="15" customHeight="1" x14ac:dyDescent="0.25">
      <c r="A8" s="17"/>
      <c r="B8" s="17"/>
      <c r="C8" s="17"/>
      <c r="D8" s="18"/>
      <c r="E8" s="17"/>
      <c r="F8" s="17"/>
      <c r="G8" s="18"/>
      <c r="H8" s="17"/>
      <c r="I8" s="17"/>
    </row>
    <row r="9" spans="1:9" ht="15" customHeight="1" x14ac:dyDescent="0.25">
      <c r="A9" s="17"/>
      <c r="B9" s="17"/>
      <c r="C9" s="17"/>
      <c r="D9" s="18"/>
      <c r="E9" s="17"/>
      <c r="F9" s="17"/>
      <c r="G9" s="18"/>
      <c r="H9" s="17"/>
      <c r="I9" s="17"/>
    </row>
    <row r="10" spans="1:9" ht="15" customHeight="1" x14ac:dyDescent="0.25">
      <c r="A10" s="17"/>
      <c r="B10" s="17"/>
      <c r="C10" s="17"/>
      <c r="D10" s="18"/>
      <c r="E10" s="17"/>
      <c r="F10" s="17"/>
      <c r="G10" s="18"/>
      <c r="H10" s="17"/>
      <c r="I10" s="17"/>
    </row>
    <row r="11" spans="1:9" ht="15" customHeight="1" x14ac:dyDescent="0.25">
      <c r="A11" s="17"/>
      <c r="B11" s="17"/>
      <c r="C11" s="17"/>
      <c r="D11" s="18"/>
      <c r="E11" s="17"/>
      <c r="F11" s="17"/>
      <c r="G11" s="18"/>
      <c r="H11" s="17"/>
      <c r="I11" s="17"/>
    </row>
    <row r="12" spans="1:9" ht="15" customHeight="1" x14ac:dyDescent="0.25">
      <c r="A12" s="17"/>
      <c r="B12" s="17"/>
      <c r="C12" s="17"/>
      <c r="D12" s="18"/>
      <c r="E12" s="17"/>
      <c r="F12" s="17"/>
      <c r="G12" s="18"/>
      <c r="H12" s="17"/>
      <c r="I12" s="17"/>
    </row>
    <row r="13" spans="1:9" ht="15" customHeight="1" x14ac:dyDescent="0.25">
      <c r="A13" s="17"/>
      <c r="B13" s="17"/>
      <c r="C13" s="17"/>
      <c r="D13" s="18"/>
      <c r="E13" s="17"/>
      <c r="F13" s="17"/>
      <c r="G13" s="18"/>
      <c r="H13" s="17"/>
      <c r="I13" s="17"/>
    </row>
    <row r="14" spans="1:9" ht="15" customHeight="1" x14ac:dyDescent="0.25">
      <c r="A14" s="17"/>
      <c r="B14" s="17"/>
      <c r="C14" s="17"/>
      <c r="D14" s="18"/>
      <c r="E14" s="17"/>
      <c r="F14" s="17"/>
      <c r="G14" s="18"/>
      <c r="H14" s="17"/>
      <c r="I14" s="17"/>
    </row>
    <row r="15" spans="1:9" ht="15" customHeight="1" x14ac:dyDescent="0.25">
      <c r="A15" s="17"/>
      <c r="B15" s="17"/>
      <c r="C15" s="17"/>
      <c r="D15" s="18"/>
      <c r="E15" s="17"/>
      <c r="F15" s="17"/>
      <c r="G15" s="18"/>
      <c r="H15" s="17"/>
      <c r="I15" s="17"/>
    </row>
  </sheetData>
  <dataValidations count="2">
    <dataValidation type="list" allowBlank="1" sqref="E2:E30" xr:uid="{00000000-0002-0000-0400-000000000000}">
      <formula1>"Bloquante,Majeure,Mineure"</formula1>
      <formula2>0</formula2>
    </dataValidation>
    <dataValidation type="list" allowBlank="1" sqref="F2:F30" xr:uid="{00000000-0002-0000-0400-000001000000}">
      <formula1>"Ouverte,Corrigée,Reportée"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 — 1er passage</vt:lpstr>
      <vt:lpstr>Cas — 1er passage</vt:lpstr>
      <vt:lpstr>Synthèse — 2e passage</vt:lpstr>
      <vt:lpstr>Cas — 2e passage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ROYER</cp:lastModifiedBy>
  <cp:revision>0</cp:revision>
  <dcterms:created xsi:type="dcterms:W3CDTF">2026-07-17T08:12:11Z</dcterms:created>
  <dcterms:modified xsi:type="dcterms:W3CDTF">2026-09-01T12:35:10Z</dcterms:modified>
  <dc:language>en-US</dc:language>
</cp:coreProperties>
</file>